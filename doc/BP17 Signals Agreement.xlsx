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_node_sigs_Agreement" sheetId="1" r:id="rId5"/>
    <sheet state="visible" name="BMS CAN msg" sheetId="2" r:id="rId6"/>
    <sheet state="visible" name="BAMO CAN msg" sheetId="3" r:id="rId7"/>
    <sheet state="visible" name="Traffic" sheetId="4" r:id="rId8"/>
    <sheet state="visible" name="AMS.csv" sheetId="5" r:id="rId9"/>
    <sheet state="visible" name="BAMO.csv" sheetId="6" r:id="rId10"/>
    <sheet state="visible" name="Rear_node.csv" sheetId="7" r:id="rId11"/>
    <sheet state="visible" name="SHDN-BSPD.csv" sheetId="8" r:id="rId12"/>
    <sheet state="visible" name="Front_node.csv" sheetId="9" r:id="rId13"/>
  </sheets>
  <definedNames/>
  <calcPr/>
</workbook>
</file>

<file path=xl/sharedStrings.xml><?xml version="1.0" encoding="utf-8"?>
<sst xmlns="http://schemas.openxmlformats.org/spreadsheetml/2006/main" count="1014" uniqueCount="410">
  <si>
    <t>COMMON PORT ONLY; OTHER PORTS IN ESP32 SUCH AS</t>
  </si>
  <si>
    <t>อาจจะต้องทำอีก Column เพื่อกระจายเป็น Pin จริง</t>
  </si>
  <si>
    <t>Front suspension (2 rpm 1 stoke 1 BSPD)</t>
  </si>
  <si>
    <t>From BSPD</t>
  </si>
  <si>
    <t>To</t>
  </si>
  <si>
    <t>Sensor Node</t>
  </si>
  <si>
    <t>Summary</t>
  </si>
  <si>
    <t>Summary for 
COMMON Board</t>
  </si>
  <si>
    <t>Common port pin</t>
  </si>
  <si>
    <t>Request signal</t>
  </si>
  <si>
    <t>I/O</t>
  </si>
  <si>
    <t>Sensor Type</t>
  </si>
  <si>
    <t>Range</t>
  </si>
  <si>
    <t>Amont of Pin</t>
  </si>
  <si>
    <t>Connecting To</t>
  </si>
  <si>
    <t>Remark fnc.</t>
  </si>
  <si>
    <t>APPS1</t>
  </si>
  <si>
    <t>APPS0</t>
  </si>
  <si>
    <t>AI</t>
  </si>
  <si>
    <t>Analog</t>
  </si>
  <si>
    <t>0-5.0V</t>
  </si>
  <si>
    <t>3 (5Vdc, GLV, S)</t>
  </si>
  <si>
    <t>BSPD, Bamocar</t>
  </si>
  <si>
    <t>ย้ำว่ามีบาง pin ที่ใช้ร่วมกัน</t>
  </si>
  <si>
    <t>Min</t>
  </si>
  <si>
    <t>Max</t>
  </si>
  <si>
    <t>APPS2</t>
  </si>
  <si>
    <t>BSPD</t>
  </si>
  <si>
    <t>(เป็น 8 เพราะว่า IC มี 8 ขา)</t>
  </si>
  <si>
    <t>BPPS1</t>
  </si>
  <si>
    <t>BPPS0</t>
  </si>
  <si>
    <t>AO</t>
  </si>
  <si>
    <t>Brake Pressure Sensor</t>
  </si>
  <si>
    <t>3 (5 or 12Vdc, GLV, S)</t>
  </si>
  <si>
    <t>แรงดันน้ำมันเบรก</t>
  </si>
  <si>
    <t>Brake SW</t>
  </si>
  <si>
    <t>DI</t>
  </si>
  <si>
    <t>Digital</t>
  </si>
  <si>
    <t>0-24V</t>
  </si>
  <si>
    <t>DASHBOARD (vis BSPD), Brake LED</t>
  </si>
  <si>
    <t>ไฟเบรก</t>
  </si>
  <si>
    <t>BSPD Error</t>
  </si>
  <si>
    <t>0-12V</t>
  </si>
  <si>
    <t>Dashboard</t>
  </si>
  <si>
    <t>CAN</t>
  </si>
  <si>
    <t>Communication</t>
  </si>
  <si>
    <t>0-3.3V</t>
  </si>
  <si>
    <t>3 (CANL,CANH, GLV)</t>
  </si>
  <si>
    <t>Dashboard, Rasberry Pi 5</t>
  </si>
  <si>
    <t>DO</t>
  </si>
  <si>
    <t xml:space="preserve">Min </t>
  </si>
  <si>
    <t>-</t>
  </si>
  <si>
    <t>GPS</t>
  </si>
  <si>
    <t>3 (SDA,SCL,GLV)</t>
  </si>
  <si>
    <t>Commu</t>
  </si>
  <si>
    <t>CAN x 1 , I2C x1</t>
  </si>
  <si>
    <t>Total</t>
  </si>
  <si>
    <t>Dashpanel (Receive from SHDN and BSPD)</t>
  </si>
  <si>
    <t>From Dashboard</t>
  </si>
  <si>
    <t>Potentiometer 
(Left Decouple)</t>
  </si>
  <si>
    <t>3 (3.3Vdc, GLV, S)</t>
  </si>
  <si>
    <t>Potentiometer 
(Right Decouple)</t>
  </si>
  <si>
    <t>Steering Wheel Angle</t>
  </si>
  <si>
    <t>Steering Wheel</t>
  </si>
  <si>
    <t>Temp 1</t>
  </si>
  <si>
    <t>Temp 0</t>
  </si>
  <si>
    <t>2 (S, GLV)</t>
  </si>
  <si>
    <t xml:space="preserve">Read data from CAN bus and show LED *Req 3-4 bit ADC </t>
  </si>
  <si>
    <t>Temp 2</t>
  </si>
  <si>
    <t>I2C</t>
  </si>
  <si>
    <t>Under Driver Seat</t>
  </si>
  <si>
    <t>From Shutdown</t>
  </si>
  <si>
    <t>Sensor Node connection</t>
  </si>
  <si>
    <t>TSAL</t>
  </si>
  <si>
    <t>4 (Red, GRN, Amber, GLV)</t>
  </si>
  <si>
    <t>TSAL LED Board</t>
  </si>
  <si>
    <t>IMD fault</t>
  </si>
  <si>
    <t>BMS fault</t>
  </si>
  <si>
    <t>BSPD fault</t>
  </si>
  <si>
    <t>Emer SW</t>
  </si>
  <si>
    <t>Interlock / HVD</t>
  </si>
  <si>
    <t>LV Current sensor</t>
  </si>
  <si>
    <t>Rear Suspension (2 RPM 1 stroke 1 BAMO , 1 pump temp)</t>
  </si>
  <si>
    <t>From Rear suspension</t>
  </si>
  <si>
    <t>Temperature (Thermistor)</t>
  </si>
  <si>
    <t>Cooling system</t>
  </si>
  <si>
    <t>Measurement range 20-60 C</t>
  </si>
  <si>
    <t>Bamocar</t>
  </si>
  <si>
    <t>PWM</t>
  </si>
  <si>
    <t>To control Dimmer</t>
  </si>
  <si>
    <t>2 (CANL,CANH)</t>
  </si>
  <si>
    <t>Gyro</t>
  </si>
  <si>
    <t>AMS</t>
  </si>
  <si>
    <t>From AMS</t>
  </si>
  <si>
    <t>Shutdown</t>
  </si>
  <si>
    <t>BMU</t>
  </si>
  <si>
    <t>CAN Channel</t>
  </si>
  <si>
    <t>BMS</t>
  </si>
  <si>
    <t>Temp</t>
  </si>
  <si>
    <t>Module Operation &amp; Voltages status</t>
  </si>
  <si>
    <t>Current ss</t>
  </si>
  <si>
    <t>Start</t>
  </si>
  <si>
    <t>0x2(X)1</t>
  </si>
  <si>
    <t>Priority = 2</t>
  </si>
  <si>
    <t>Cycle</t>
  </si>
  <si>
    <t>Source</t>
  </si>
  <si>
    <t>0x01-0x08 ( BMU ID )</t>
  </si>
  <si>
    <t>msg number 1</t>
  </si>
  <si>
    <t xml:space="preserve">DLC </t>
  </si>
  <si>
    <t>ID:</t>
  </si>
  <si>
    <t>2(X)1</t>
  </si>
  <si>
    <t>Byte</t>
  </si>
  <si>
    <t>Name</t>
  </si>
  <si>
    <t>Meaning Physical Val</t>
  </si>
  <si>
    <t>Offset</t>
  </si>
  <si>
    <t>Factor</t>
  </si>
  <si>
    <t>Decimal Raw Val</t>
  </si>
  <si>
    <t>Remark</t>
  </si>
  <si>
    <t>BMU Enter Charging Mode</t>
  </si>
  <si>
    <t xml:space="preserve">Module is ready to be charged </t>
  </si>
  <si>
    <t>0: NO</t>
  </si>
  <si>
    <t>After Acknowledging BCU command Bit 1</t>
  </si>
  <si>
    <t>1: YES</t>
  </si>
  <si>
    <t>Set this to YES if BMU is ready , BCU then activate the charger</t>
  </si>
  <si>
    <t>Cells in Balancing
(BalancingDischarge_Cells)</t>
  </si>
  <si>
    <t>10 bit representation of Cell C1-C10 ( from MSB )
0x000 - 0x3FF</t>
  </si>
  <si>
    <t>0bxxxxxxxxxx
0 = Not Balance Discharge
1 =Balance Discharging</t>
  </si>
  <si>
    <t>Cell voltage  difference (DV)</t>
  </si>
  <si>
    <t>0-0.2 V
|Current Vcell- Vavg|</t>
  </si>
  <si>
    <t>0-2</t>
  </si>
  <si>
    <t>BCU receive this =&gt; IF Exceed threshold =&gt; shutdown =&gt; Start Balance .. Max- avg</t>
  </si>
  <si>
    <t>Temp sensor 1</t>
  </si>
  <si>
    <t>2.00 Vdc =&gt; 0xA0 
2.50 Vdc =&gt; 0xC8
5.00 Vdc =&gt; 0xFA</t>
  </si>
  <si>
    <t>160-250
0xA0-0xFA</t>
  </si>
  <si>
    <t>Vsense = 2 + (Raw * 0.0125) ; Note : Vsense = Vr1</t>
  </si>
  <si>
    <t>Thermistor Circuit Schematic:</t>
  </si>
  <si>
    <t>Temp sensor 2</t>
  </si>
  <si>
    <t>Vsense = 4.37 V = &gt;90 C , Vsense  = 2.18 V =&gt; 20 C</t>
  </si>
  <si>
    <t>Look at this NTC themistor Datasheet || Approx. 2.5V at 25 C , at 60 C would be ….</t>
  </si>
  <si>
    <t>Reserved</t>
  </si>
  <si>
    <t>Individual Cell Monitoring 1 (LOW SERIES)</t>
  </si>
  <si>
    <t>0x2(X)2</t>
  </si>
  <si>
    <t>200ms</t>
  </si>
  <si>
    <t>msg number 2</t>
  </si>
  <si>
    <t>Destination</t>
  </si>
  <si>
    <t>2(X)2</t>
  </si>
  <si>
    <t>Cell 1</t>
  </si>
  <si>
    <t>3.20 Vdc =&gt; 0xA0 
4.20 Vdc =&gt; 0xD2
5.00 Vdc =&gt; 0xFA</t>
  </si>
  <si>
    <t>Keep 2 decimal places</t>
  </si>
  <si>
    <t>Decimal raw value * factor = Physical Value</t>
  </si>
  <si>
    <t>BCU Must Extract Min cell or Max cell from this data</t>
  </si>
  <si>
    <t>Cell 2</t>
  </si>
  <si>
    <t>Cell 3</t>
  </si>
  <si>
    <t>Cell 4</t>
  </si>
  <si>
    <t>Cell 5</t>
  </si>
  <si>
    <t>Cell 6</t>
  </si>
  <si>
    <t>Cell 7</t>
  </si>
  <si>
    <t>Cell 8</t>
  </si>
  <si>
    <t>Individual Cell Monitoring 2 (HIGH SERIES)</t>
  </si>
  <si>
    <t>0x1CE2</t>
  </si>
  <si>
    <t>msg number 3</t>
  </si>
  <si>
    <t>0xE5 (BCU)</t>
  </si>
  <si>
    <t>2(X)3</t>
  </si>
  <si>
    <t>Cell 9</t>
  </si>
  <si>
    <t>3.2 Vdc =&gt; 0xA0 
4.2 Vdc =&gt; 0xD2
5 Vdc =&gt; 0xFA</t>
  </si>
  <si>
    <t>0-250
0x00-0xFA</t>
  </si>
  <si>
    <t>Cell 10</t>
  </si>
  <si>
    <t>Possible: Cell 11- Cell 16</t>
  </si>
  <si>
    <t xml:space="preserve">Module Fault Code 1 </t>
  </si>
  <si>
    <t>0x12E1</t>
  </si>
  <si>
    <t>Priority = 1</t>
  </si>
  <si>
    <t>1000ms</t>
  </si>
  <si>
    <t>Only Transmit when Fault occurs</t>
  </si>
  <si>
    <t>1(X)1</t>
  </si>
  <si>
    <t>Do not need BCU request</t>
  </si>
  <si>
    <t>Protection Flag</t>
  </si>
  <si>
    <t>V OK = 0x00 
OVP = 0x01 
LVP = 0x02
OVTPW = 0x03
OVTP = 0x04
ODV = 0x05</t>
  </si>
  <si>
    <t xml:space="preserve"> OVD = Over div voltage 
Over div voltage, if div between each cell to high , trigger balance
Cell over &gt; 0.9*Vmax (Warning)
Cell over &gt;= 0.95*Vmax (Critical)
Cell lower &lt;= 1.12*Vmin (Warning)
Cell lower &lt;= 1.1*Vmin (Critical)
Temp over warning &gt;= 0.8 * Tmax
Temp over critical &gt;= 0.9 * Tmax</t>
  </si>
  <si>
    <t>Protection = Faultcode</t>
  </si>
  <si>
    <t>Over Voltage Warning (OVWP)</t>
  </si>
  <si>
    <t>10 bit representation of Cell C1-C10 ( from MSB )
0x000 - 0x3FF</t>
  </si>
  <si>
    <t>0bxxxxxxxxxx
0 = No Fault
1 = Fault</t>
  </si>
  <si>
    <t>Over Voltage Critical (OVP)</t>
  </si>
  <si>
    <t>Low Voltage warning (LVWP)</t>
  </si>
  <si>
    <t>Low Voltage critical (LVP)</t>
  </si>
  <si>
    <t xml:space="preserve">Module Fault Code 2 </t>
  </si>
  <si>
    <t>0x12E2</t>
  </si>
  <si>
    <t>1(X)2</t>
  </si>
  <si>
    <t>Over Temp warning Cell (OVTWP)</t>
  </si>
  <si>
    <t>0bxxxxxxxxxx
0 = No Fault OK
1 = Fault Confirmed</t>
  </si>
  <si>
    <t>Over Temp Critical Cell (OVTP)</t>
  </si>
  <si>
    <t>Over Div Voltage warning (OVDWP)</t>
  </si>
  <si>
    <t>Indication used when charger is plugged
if : OVDWP is True  =&gt; command charger stop
if : OVDP is True  =&gt;  Do previous AND shutdown
Mean while continue balancing</t>
  </si>
  <si>
    <t>Over Div Voltage critical(OVDP)</t>
  </si>
  <si>
    <t>BCU command</t>
  </si>
  <si>
    <t>Request message</t>
  </si>
  <si>
    <t>0x01E</t>
  </si>
  <si>
    <t>100ms</t>
  </si>
  <si>
    <t>0xE5 (BCU ID)</t>
  </si>
  <si>
    <t>0x00 (None)</t>
  </si>
  <si>
    <t>7FF</t>
  </si>
  <si>
    <t>BMU Synchronize time</t>
  </si>
  <si>
    <t>(100-250) ms : Request
(0) ms : No Request</t>
  </si>
  <si>
    <t>0-255
0x00 - 0xFF</t>
  </si>
  <si>
    <t>Upon sending to BMU it will transmit to BCU with the same rate as Synchronize time</t>
  </si>
  <si>
    <t>BMU Charging Notify</t>
  </si>
  <si>
    <t xml:space="preserve">Notify BMU the charger is plugged </t>
  </si>
  <si>
    <t>0 = NO 
1 = YES</t>
  </si>
  <si>
    <t>BCU sense charger plugged , this will change to YES</t>
  </si>
  <si>
    <t>Vmax (Cell)</t>
  </si>
  <si>
    <t xml:space="preserve">4.2V </t>
  </si>
  <si>
    <t>42
0x2A</t>
  </si>
  <si>
    <t>Refers to</t>
  </si>
  <si>
    <t>All Default Parameter kept in BCU  non-volatile memory e.g. flash , EEPROM.</t>
  </si>
  <si>
    <t>Vmin (Cell)</t>
  </si>
  <si>
    <t>3.2V</t>
  </si>
  <si>
    <t>22
0x16</t>
  </si>
  <si>
    <t>Tmax</t>
  </si>
  <si>
    <t>60 C</t>
  </si>
  <si>
    <t>60
0x3C</t>
  </si>
  <si>
    <t>60C specified by EV.8.</t>
  </si>
  <si>
    <t>dVmax</t>
  </si>
  <si>
    <t>0.2V
Maximum difference between cell voltage, relevant during  charge</t>
  </si>
  <si>
    <t>2
0x02</t>
  </si>
  <si>
    <t>Save Configuration Flag</t>
  </si>
  <si>
    <t>Signal BMU to save above parameters in its non-volatile memory</t>
  </si>
  <si>
    <t>0 = NO
1 = YES</t>
  </si>
  <si>
    <t xml:space="preserve">For future: 
Total cell number,  Total  Modules, rated Ah ,rated Wh , etc. </t>
  </si>
  <si>
    <t>BAMOCAR to Master</t>
  </si>
  <si>
    <t>Speed actual value</t>
  </si>
  <si>
    <t xml:space="preserve"> SEND REQUEST</t>
  </si>
  <si>
    <t>BYTE</t>
  </si>
  <si>
    <t>ID</t>
  </si>
  <si>
    <t>DLC</t>
  </si>
  <si>
    <t>1 (Send Register ID)</t>
  </si>
  <si>
    <t>2 (TIme setting)</t>
  </si>
  <si>
    <t xml:space="preserve"> Calculate</t>
  </si>
  <si>
    <t>0x210</t>
  </si>
  <si>
    <t>0x3D</t>
  </si>
  <si>
    <t>0x30</t>
  </si>
  <si>
    <t>0x64 / 0x00</t>
  </si>
  <si>
    <t>Calculate to %</t>
  </si>
  <si>
    <t>100 ms / Once</t>
  </si>
  <si>
    <t>[ (BYTE2 + BYTE1) / 32767 ] x 100</t>
  </si>
  <si>
    <t>RESPONSE</t>
  </si>
  <si>
    <t>Calculate to RPM</t>
  </si>
  <si>
    <t>REQUEST 0xC8 (fixed defined) to get Nmax</t>
  </si>
  <si>
    <t>0 (Return register address back)</t>
  </si>
  <si>
    <t>[ (BYTE2 + BYTE1) / 32767 ] x Nmax</t>
  </si>
  <si>
    <t>Nmax is 5000</t>
  </si>
  <si>
    <t>0xXX(Master)</t>
  </si>
  <si>
    <t>0xXX</t>
  </si>
  <si>
    <t>Set in NDRIVE</t>
  </si>
  <si>
    <t>Response</t>
  </si>
  <si>
    <t>Current actual value</t>
  </si>
  <si>
    <t>0x20</t>
  </si>
  <si>
    <t>[ (BYTE2 + BYTE1) / 0x042E ] x 200</t>
  </si>
  <si>
    <t>REQUEST 0xD9 , 0xC6 (fixed defined)</t>
  </si>
  <si>
    <t>0xD9 is 0x042E</t>
  </si>
  <si>
    <t>Calculate to Amp</t>
  </si>
  <si>
    <t>0xC6 is 0x07D0</t>
  </si>
  <si>
    <t>[ (BYTE2 + BYTE1) / 0x042E ] x 0x07D0 x 0.5</t>
  </si>
  <si>
    <t>0xD9 / 0xC6</t>
  </si>
  <si>
    <t>0x00</t>
  </si>
  <si>
    <t>Status</t>
  </si>
  <si>
    <t>Temp motor  too high</t>
  </si>
  <si>
    <t>0x8F</t>
  </si>
  <si>
    <t>BIT Seperate</t>
  </si>
  <si>
    <t>--&gt;&gt; BIT22 = 0  ok</t>
  </si>
  <si>
    <t>--&gt;&gt; BIT22 = 1  Temp is &gt; 87%</t>
  </si>
  <si>
    <t>Speed value (RPM)</t>
  </si>
  <si>
    <t>(Filtered)</t>
  </si>
  <si>
    <t>0xA8</t>
  </si>
  <si>
    <t>Current value (A rms)</t>
  </si>
  <si>
    <t>0x5F</t>
  </si>
  <si>
    <t>BMS Internal Bus</t>
  </si>
  <si>
    <t>OBC Bus</t>
  </si>
  <si>
    <t>BAMOCAR Bus</t>
  </si>
  <si>
    <t>General Standard</t>
  </si>
  <si>
    <t>ISO11898 and Custome Higher layer protocol</t>
  </si>
  <si>
    <t>SAE J1939</t>
  </si>
  <si>
    <t>ISO11898</t>
  </si>
  <si>
    <t>Baudrate (kb/s)</t>
  </si>
  <si>
    <t>data rate specified by prtocol (kb/s)</t>
  </si>
  <si>
    <t>Content/Message (byte)</t>
  </si>
  <si>
    <t>Content</t>
  </si>
  <si>
    <t>Filling from at</t>
  </si>
  <si>
    <t>INTEL(Little-Endian)</t>
  </si>
  <si>
    <t xml:space="preserve">Communication channel </t>
  </si>
  <si>
    <t>BMS to OBC</t>
  </si>
  <si>
    <t>.</t>
  </si>
  <si>
    <t>Message header and Content Rules</t>
  </si>
  <si>
    <t>Message Cycle time (sec)</t>
  </si>
  <si>
    <t>Message per BMU (At worst case of fault report)</t>
  </si>
  <si>
    <t>Message per cycle</t>
  </si>
  <si>
    <t>Message for 8 BMU</t>
  </si>
  <si>
    <t>Total Message in 1 sec</t>
  </si>
  <si>
    <t>Total Message in 1 sec (+1 BCU message)</t>
  </si>
  <si>
    <t>CAN 29 bit ID: (PP)(C)(X)(SS)(DD)</t>
  </si>
  <si>
    <t>(P) = Priority</t>
  </si>
  <si>
    <t>(C) = CAN channel</t>
  </si>
  <si>
    <t>(X) = Msg number</t>
  </si>
  <si>
    <t>Src-Dest = (SS)(AA)</t>
  </si>
  <si>
    <t>Determine BUS load (Try not to exceed 80%)</t>
  </si>
  <si>
    <t xml:space="preserve">Data load(Worst case ≈ 152 bit/frame)  (kb/sec) </t>
  </si>
  <si>
    <t>Frame/sec load:</t>
  </si>
  <si>
    <t>Theoretical Maximum Frame/Sec:</t>
  </si>
  <si>
    <t>50% Load</t>
  </si>
  <si>
    <t>80% Load</t>
  </si>
  <si>
    <t>Default Parameter</t>
  </si>
  <si>
    <t>Vcell Max</t>
  </si>
  <si>
    <t>4.2V</t>
  </si>
  <si>
    <t>VmoduleMax</t>
  </si>
  <si>
    <t>320.0V</t>
  </si>
  <si>
    <t>Max discharge current when ON</t>
  </si>
  <si>
    <t>CurrentMax</t>
  </si>
  <si>
    <t>5.0A</t>
  </si>
  <si>
    <t>Max Temp</t>
  </si>
  <si>
    <t>90C</t>
  </si>
  <si>
    <t>Cell Rated Capacity</t>
  </si>
  <si>
    <t>34Ah</t>
  </si>
  <si>
    <t>if one Vcell reach cell max activate discharge for a set delay time</t>
  </si>
  <si>
    <t>if all Vcell reach Vcell max Pack status full</t>
  </si>
  <si>
    <t>OR overvoltage fault?</t>
  </si>
  <si>
    <t>Electrical Signals to Telemetry</t>
  </si>
  <si>
    <t>BCU to Telemetry</t>
  </si>
  <si>
    <t>USB-C type 3.0</t>
  </si>
  <si>
    <t>Baudrate (Mb/s)</t>
  </si>
  <si>
    <t>Frame size</t>
  </si>
  <si>
    <t>EV-&gt;tele</t>
  </si>
  <si>
    <t>Message Header content</t>
  </si>
  <si>
    <t>AMS_Master module csv header</t>
  </si>
  <si>
    <t>(BCU)</t>
  </si>
  <si>
    <t>Time</t>
  </si>
  <si>
    <t>obc_in</t>
  </si>
  <si>
    <t>ams_ok</t>
  </si>
  <si>
    <t>ams_volt</t>
  </si>
  <si>
    <t>ams_ov_crit</t>
  </si>
  <si>
    <t>ams_ov_wanr</t>
  </si>
  <si>
    <t>ams_lv_crit</t>
  </si>
  <si>
    <t>ams_lv_warn</t>
  </si>
  <si>
    <t>ams_ovt_crit</t>
  </si>
  <si>
    <t>ams_ovt_warn</t>
  </si>
  <si>
    <t>ams_ovd_crit</t>
  </si>
  <si>
    <t>ams_ovd_warn</t>
  </si>
  <si>
    <t>AMS_Slave module csv header</t>
  </si>
  <si>
    <t>(BMU)</t>
  </si>
  <si>
    <t>bmu_id</t>
  </si>
  <si>
    <t>bmu_volt</t>
  </si>
  <si>
    <t>bmu_temp1</t>
  </si>
  <si>
    <t>bmu_temp2</t>
  </si>
  <si>
    <t>bmu_dv</t>
  </si>
  <si>
    <t>bmu_connect</t>
  </si>
  <si>
    <t>bmu_ready_chg</t>
  </si>
  <si>
    <t>bmu_cell_in_balance</t>
  </si>
  <si>
    <t>bmu_ov_crti</t>
  </si>
  <si>
    <t>bmu_ov_warn</t>
  </si>
  <si>
    <t>bmu_lv_crit</t>
  </si>
  <si>
    <t>bmu_lv_warn</t>
  </si>
  <si>
    <t>bmu_ovt_crit</t>
  </si>
  <si>
    <t>bmu_ovt_warn</t>
  </si>
  <si>
    <t>bmu_ovd_crit</t>
  </si>
  <si>
    <t>bmu_ovd_warn</t>
  </si>
  <si>
    <t>Cell1 - Cell 10</t>
  </si>
  <si>
    <t>Master</t>
  </si>
  <si>
    <t>Slave</t>
  </si>
  <si>
    <t>Column::</t>
  </si>
  <si>
    <t>A</t>
  </si>
  <si>
    <t>Time in YYYY-MM-DD hh:mm:ss GMT+7</t>
  </si>
  <si>
    <t>Ex. 2025-03-05 18:51:18.828300</t>
  </si>
  <si>
    <t>B,C</t>
  </si>
  <si>
    <t>APS1 Distance in m.</t>
  </si>
  <si>
    <t>B</t>
  </si>
  <si>
    <t>BMU_id number (1-8) for now</t>
  </si>
  <si>
    <t>D,E</t>
  </si>
  <si>
    <t>Break pressure in bar. Or Distance in m.</t>
  </si>
  <si>
    <t>C</t>
  </si>
  <si>
    <t>BMU voltage (Maximum 42.0V) for now</t>
  </si>
  <si>
    <t>F</t>
  </si>
  <si>
    <t xml:space="preserve">TS current in Ampere </t>
  </si>
  <si>
    <t>D-E</t>
  </si>
  <si>
    <t>Temperature sensor temperature value</t>
  </si>
  <si>
    <t>(-)= Discharge</t>
  </si>
  <si>
    <t>DV = Cell voltage difference , Calculate from , | V_avg - Vcurrent |</t>
  </si>
  <si>
    <t>(+) = Charge</t>
  </si>
  <si>
    <t>G</t>
  </si>
  <si>
    <t>BMU connection to CAN bus , 1 = OK , 0 = NOT_OK</t>
  </si>
  <si>
    <t>OBC Aux Voltage input (Signaling for AMS to enter charge Mode)</t>
  </si>
  <si>
    <t>H</t>
  </si>
  <si>
    <t>BMU signaling for Cell balancing , 1 = OK , 0 = NOT_OK</t>
  </si>
  <si>
    <t>AMS Fault indicator , 1 = OK , 0 =NOT_OK</t>
  </si>
  <si>
    <t>I</t>
  </si>
  <si>
    <t>BMU over voltage fault code (10 bit binary) ; if bit 1 appear at any position = that position is Faulty</t>
  </si>
  <si>
    <t>AMS Voltage (x Module)</t>
  </si>
  <si>
    <t>J</t>
  </si>
  <si>
    <t>BMU low voltage fault code</t>
  </si>
  <si>
    <t>AMS overvoltage indicator , 2 = CRITICAL , 1 = WARNING, 0 =OK</t>
  </si>
  <si>
    <t>K</t>
  </si>
  <si>
    <t>BMU over temperature fault code</t>
  </si>
  <si>
    <t>S</t>
  </si>
  <si>
    <t>AMS lowvoltage indicator , 2 = CRITICAL , 1 = WARNING, 0 =OK</t>
  </si>
  <si>
    <t>L</t>
  </si>
  <si>
    <t>BMU over DV fault code</t>
  </si>
  <si>
    <t>AMS overtemp indicator , 2 = CRITICAL , 1 = WARNING, 0 =OK</t>
  </si>
  <si>
    <t>M - V</t>
  </si>
  <si>
    <t>Cell 1 - Cell 10</t>
  </si>
  <si>
    <t>M</t>
  </si>
  <si>
    <t>AMS over_divvoltage indicator , 2 = CRITICAL , 1 = WARNING, 0 =OK</t>
  </si>
  <si>
    <t>N</t>
  </si>
  <si>
    <t>(divVoltage = Cell voltage difference)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</si>
</sst>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0">
    <font>
      <sz val="11.0"/>
      <color theme="1"/>
      <name val="Aptos Narrow"/>
      <scheme val="minor"/>
    </font>
    <font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i/>
      <sz val="12.0"/>
      <color theme="1"/>
      <name val="Arial"/>
    </font>
    <font>
      <b/>
      <sz val="14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sz val="14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  <font>
      <sz val="11.0"/>
      <color rgb="FF000000"/>
      <name val="Aptos Narrow"/>
    </font>
    <font>
      <u/>
      <sz val="11.0"/>
      <color theme="10"/>
      <name val="Aptos Narrow"/>
    </font>
    <font>
      <b/>
      <color theme="1"/>
      <name val="Aptos Narrow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horizontal="center" readingOrder="0" vertical="top"/>
    </xf>
    <xf borderId="2" fillId="2" fontId="3" numFmtId="0" xfId="0" applyAlignment="1" applyBorder="1" applyFont="1">
      <alignment readingOrder="0" shrinkToFit="0" vertical="top" wrapText="1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vertical="top"/>
    </xf>
    <xf borderId="1" fillId="3" fontId="6" numFmtId="0" xfId="0" applyAlignment="1" applyBorder="1" applyFill="1" applyFont="1">
      <alignment readingOrder="0" shrinkToFit="0" vertical="top" wrapText="1"/>
    </xf>
    <xf borderId="1" fillId="4" fontId="6" numFmtId="0" xfId="0" applyAlignment="1" applyBorder="1" applyFill="1" applyFont="1">
      <alignment vertical="top"/>
    </xf>
    <xf borderId="1" fillId="5" fontId="6" numFmtId="0" xfId="0" applyAlignment="1" applyBorder="1" applyFill="1" applyFont="1">
      <alignment vertical="top"/>
    </xf>
    <xf borderId="1" fillId="6" fontId="6" numFmtId="0" xfId="0" applyAlignment="1" applyBorder="1" applyFill="1" applyFont="1">
      <alignment vertical="top"/>
    </xf>
    <xf borderId="1" fillId="7" fontId="6" numFmtId="0" xfId="0" applyAlignment="1" applyBorder="1" applyFill="1" applyFont="1">
      <alignment vertical="top"/>
    </xf>
    <xf borderId="1" fillId="6" fontId="6" numFmtId="0" xfId="0" applyAlignment="1" applyBorder="1" applyFont="1">
      <alignment shrinkToFit="0" vertical="top" wrapText="1"/>
    </xf>
    <xf borderId="1" fillId="8" fontId="6" numFmtId="0" xfId="0" applyAlignment="1" applyBorder="1" applyFill="1" applyFont="1">
      <alignment vertical="top"/>
    </xf>
    <xf borderId="6" fillId="0" fontId="3" numFmtId="0" xfId="0" applyAlignment="1" applyBorder="1" applyFont="1">
      <alignment horizontal="center" vertical="top"/>
    </xf>
    <xf borderId="6" fillId="0" fontId="5" numFmtId="0" xfId="0" applyBorder="1" applyFont="1"/>
    <xf borderId="7" fillId="9" fontId="7" numFmtId="0" xfId="0" applyAlignment="1" applyBorder="1" applyFill="1" applyFont="1">
      <alignment shrinkToFit="0" vertical="top" wrapText="1"/>
    </xf>
    <xf borderId="8" fillId="0" fontId="7" numFmtId="0" xfId="0" applyAlignment="1" applyBorder="1" applyFont="1">
      <alignment horizontal="center" vertical="top"/>
    </xf>
    <xf borderId="7" fillId="0" fontId="7" numFmtId="0" xfId="0" applyAlignment="1" applyBorder="1" applyFont="1">
      <alignment vertical="top"/>
    </xf>
    <xf borderId="5" fillId="0" fontId="7" numFmtId="0" xfId="0" applyAlignment="1" applyBorder="1" applyFont="1">
      <alignment vertical="top"/>
    </xf>
    <xf borderId="9" fillId="0" fontId="7" numFmtId="0" xfId="0" applyAlignment="1" applyBorder="1" applyFont="1">
      <alignment vertical="top"/>
    </xf>
    <xf borderId="5" fillId="10" fontId="7" numFmtId="0" xfId="0" applyAlignment="1" applyBorder="1" applyFill="1" applyFont="1">
      <alignment vertical="top"/>
    </xf>
    <xf borderId="9" fillId="11" fontId="7" numFmtId="0" xfId="0" applyAlignment="1" applyBorder="1" applyFill="1" applyFont="1">
      <alignment shrinkToFit="0" vertical="top" wrapText="1"/>
    </xf>
    <xf borderId="5" fillId="12" fontId="1" numFmtId="0" xfId="0" applyAlignment="1" applyBorder="1" applyFill="1" applyFont="1">
      <alignment readingOrder="0" vertical="top"/>
    </xf>
    <xf borderId="5" fillId="0" fontId="8" numFmtId="0" xfId="0" applyAlignment="1" applyBorder="1" applyFont="1">
      <alignment vertical="top"/>
    </xf>
    <xf borderId="0" fillId="0" fontId="7" numFmtId="0" xfId="0" applyAlignment="1" applyFont="1">
      <alignment vertical="top"/>
    </xf>
    <xf borderId="8" fillId="9" fontId="7" numFmtId="0" xfId="0" applyAlignment="1" applyBorder="1" applyFont="1">
      <alignment shrinkToFit="0" vertical="top" wrapText="1"/>
    </xf>
    <xf borderId="8" fillId="0" fontId="7" numFmtId="0" xfId="0" applyAlignment="1" applyBorder="1" applyFont="1">
      <alignment vertical="top"/>
    </xf>
    <xf borderId="10" fillId="0" fontId="7" numFmtId="0" xfId="0" applyAlignment="1" applyBorder="1" applyFont="1">
      <alignment vertical="top"/>
    </xf>
    <xf borderId="10" fillId="10" fontId="7" numFmtId="0" xfId="0" applyAlignment="1" applyBorder="1" applyFont="1">
      <alignment vertical="top"/>
    </xf>
    <xf borderId="0" fillId="11" fontId="7" numFmtId="0" xfId="0" applyAlignment="1" applyFont="1">
      <alignment shrinkToFit="0" vertical="top" wrapText="1"/>
    </xf>
    <xf borderId="10" fillId="12" fontId="1" numFmtId="0" xfId="0" applyAlignment="1" applyBorder="1" applyFont="1">
      <alignment vertical="top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top"/>
    </xf>
    <xf borderId="0" fillId="0" fontId="7" numFmtId="0" xfId="0" applyAlignment="1" applyFont="1">
      <alignment horizontal="right" vertical="top"/>
    </xf>
    <xf borderId="10" fillId="12" fontId="7" numFmtId="0" xfId="0" applyAlignment="1" applyBorder="1" applyFont="1">
      <alignment readingOrder="0" vertical="top"/>
    </xf>
    <xf borderId="6" fillId="0" fontId="1" numFmtId="0" xfId="0" applyAlignment="1" applyBorder="1" applyFont="1">
      <alignment vertical="top"/>
    </xf>
    <xf borderId="10" fillId="12" fontId="1" numFmtId="0" xfId="0" applyAlignment="1" applyBorder="1" applyFont="1">
      <alignment readingOrder="0" vertical="top"/>
    </xf>
    <xf borderId="8" fillId="9" fontId="7" numFmtId="0" xfId="0" applyAlignment="1" applyBorder="1" applyFont="1">
      <alignment vertical="top"/>
    </xf>
    <xf borderId="0" fillId="11" fontId="7" numFmtId="0" xfId="0" applyAlignment="1" applyFont="1">
      <alignment vertical="top"/>
    </xf>
    <xf borderId="10" fillId="12" fontId="7" numFmtId="0" xfId="0" applyAlignment="1" applyBorder="1" applyFont="1">
      <alignment vertical="top"/>
    </xf>
    <xf borderId="8" fillId="9" fontId="7" numFmtId="0" xfId="0" applyAlignment="1" applyBorder="1" applyFont="1">
      <alignment readingOrder="0" shrinkToFit="0" vertical="top" wrapText="1"/>
    </xf>
    <xf borderId="10" fillId="9" fontId="7" numFmtId="0" xfId="0" applyAlignment="1" applyBorder="1" applyFont="1">
      <alignment readingOrder="0" vertical="top"/>
    </xf>
    <xf borderId="8" fillId="9" fontId="7" numFmtId="0" xfId="0" applyAlignment="1" applyBorder="1" applyFont="1">
      <alignment readingOrder="0" vertical="top"/>
    </xf>
    <xf borderId="8" fillId="0" fontId="7" numFmtId="0" xfId="0" applyAlignment="1" applyBorder="1" applyFont="1">
      <alignment readingOrder="0" vertical="top"/>
    </xf>
    <xf borderId="10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10" fillId="10" fontId="7" numFmtId="0" xfId="0" applyAlignment="1" applyBorder="1" applyFont="1">
      <alignment readingOrder="0" vertical="top"/>
    </xf>
    <xf borderId="0" fillId="11" fontId="7" numFmtId="0" xfId="0" applyAlignment="1" applyFont="1">
      <alignment readingOrder="0" vertical="top"/>
    </xf>
    <xf borderId="11" fillId="9" fontId="7" numFmtId="0" xfId="0" applyAlignment="1" applyBorder="1" applyFont="1">
      <alignment vertical="top"/>
    </xf>
    <xf borderId="11" fillId="0" fontId="7" numFmtId="0" xfId="0" applyAlignment="1" applyBorder="1" applyFont="1">
      <alignment horizontal="center" vertical="top"/>
    </xf>
    <xf borderId="11" fillId="9" fontId="7" numFmtId="0" xfId="0" applyAlignment="1" applyBorder="1" applyFont="1">
      <alignment readingOrder="0" vertical="top"/>
    </xf>
    <xf borderId="11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12" fillId="0" fontId="7" numFmtId="0" xfId="0" applyAlignment="1" applyBorder="1" applyFont="1">
      <alignment readingOrder="0" vertical="top"/>
    </xf>
    <xf borderId="6" fillId="10" fontId="7" numFmtId="0" xfId="0" applyAlignment="1" applyBorder="1" applyFont="1">
      <alignment vertical="top"/>
    </xf>
    <xf borderId="12" fillId="11" fontId="7" numFmtId="0" xfId="0" applyAlignment="1" applyBorder="1" applyFont="1">
      <alignment vertical="top"/>
    </xf>
    <xf borderId="6" fillId="12" fontId="7" numFmtId="0" xfId="0" applyAlignment="1" applyBorder="1" applyFont="1">
      <alignment vertical="top"/>
    </xf>
    <xf borderId="6" fillId="0" fontId="7" numFmtId="0" xfId="0" applyAlignment="1" applyBorder="1" applyFont="1">
      <alignment vertical="top"/>
    </xf>
    <xf borderId="0" fillId="0" fontId="1" numFmtId="0" xfId="0" applyAlignment="1" applyFont="1">
      <alignment vertical="top"/>
    </xf>
    <xf borderId="7" fillId="0" fontId="3" numFmtId="0" xfId="0" applyAlignment="1" applyBorder="1" applyFont="1">
      <alignment horizontal="center" readingOrder="0" vertical="top"/>
    </xf>
    <xf borderId="9" fillId="11" fontId="1" numFmtId="0" xfId="0" applyAlignment="1" applyBorder="1" applyFont="1">
      <alignment vertical="top"/>
    </xf>
    <xf borderId="5" fillId="12" fontId="1" numFmtId="0" xfId="0" applyAlignment="1" applyBorder="1" applyFont="1">
      <alignment vertical="top"/>
    </xf>
    <xf borderId="0" fillId="11" fontId="1" numFmtId="0" xfId="0" applyAlignment="1" applyFont="1">
      <alignment vertical="top"/>
    </xf>
    <xf borderId="10" fillId="9" fontId="7" numFmtId="0" xfId="0" applyAlignment="1" applyBorder="1" applyFont="1">
      <alignment vertical="top"/>
    </xf>
    <xf borderId="10" fillId="12" fontId="7" numFmtId="0" xfId="0" applyAlignment="1" applyBorder="1" applyFont="1">
      <alignment shrinkToFit="0" vertical="top" wrapText="1"/>
    </xf>
    <xf borderId="0" fillId="11" fontId="7" numFmtId="0" xfId="0" applyAlignment="1" applyFont="1">
      <alignment vertical="top"/>
    </xf>
    <xf borderId="10" fillId="12" fontId="4" numFmtId="0" xfId="0" applyAlignment="1" applyBorder="1" applyFont="1">
      <alignment readingOrder="0" vertical="top"/>
    </xf>
    <xf borderId="8" fillId="9" fontId="7" numFmtId="0" xfId="0" applyAlignment="1" applyBorder="1" applyFont="1">
      <alignment vertical="top"/>
    </xf>
    <xf borderId="8" fillId="0" fontId="7" numFmtId="0" xfId="0" applyAlignment="1" applyBorder="1" applyFont="1">
      <alignment vertical="top"/>
    </xf>
    <xf borderId="10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10" fillId="10" fontId="7" numFmtId="0" xfId="0" applyAlignment="1" applyBorder="1" applyFont="1">
      <alignment vertical="top"/>
    </xf>
    <xf borderId="11" fillId="0" fontId="7" numFmtId="0" xfId="0" applyAlignment="1" applyBorder="1" applyFont="1">
      <alignment vertical="top"/>
    </xf>
    <xf borderId="6" fillId="0" fontId="7" numFmtId="0" xfId="0" applyAlignment="1" applyBorder="1" applyFont="1">
      <alignment vertical="top"/>
    </xf>
    <xf borderId="12" fillId="0" fontId="7" numFmtId="0" xfId="0" applyAlignment="1" applyBorder="1" applyFont="1">
      <alignment vertical="top"/>
    </xf>
    <xf borderId="10" fillId="9" fontId="1" numFmtId="0" xfId="0" applyAlignment="1" applyBorder="1" applyFont="1">
      <alignment vertical="top"/>
    </xf>
    <xf borderId="0" fillId="11" fontId="1" numFmtId="0" xfId="0" applyAlignment="1" applyFont="1">
      <alignment vertical="top"/>
    </xf>
    <xf borderId="11" fillId="0" fontId="7" numFmtId="0" xfId="0" applyAlignment="1" applyBorder="1" applyFont="1">
      <alignment vertical="top"/>
    </xf>
    <xf borderId="12" fillId="0" fontId="7" numFmtId="0" xfId="0" applyAlignment="1" applyBorder="1" applyFont="1">
      <alignment vertical="top"/>
    </xf>
    <xf borderId="6" fillId="10" fontId="7" numFmtId="0" xfId="0" applyAlignment="1" applyBorder="1" applyFont="1">
      <alignment vertical="top"/>
    </xf>
    <xf borderId="12" fillId="11" fontId="7" numFmtId="0" xfId="0" applyAlignment="1" applyBorder="1" applyFont="1">
      <alignment shrinkToFit="0" vertical="top" wrapText="1"/>
    </xf>
    <xf borderId="6" fillId="12" fontId="1" numFmtId="0" xfId="0" applyAlignment="1" applyBorder="1" applyFont="1">
      <alignment vertical="top"/>
    </xf>
    <xf borderId="10" fillId="12" fontId="7" numFmtId="0" xfId="0" applyAlignment="1" applyBorder="1" applyFont="1">
      <alignment vertical="top"/>
    </xf>
    <xf borderId="5" fillId="0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vertical="top"/>
    </xf>
    <xf borderId="1" fillId="4" fontId="6" numFmtId="0" xfId="0" applyAlignment="1" applyBorder="1" applyFont="1">
      <alignment vertical="top"/>
    </xf>
    <xf borderId="1" fillId="5" fontId="6" numFmtId="0" xfId="0" applyAlignment="1" applyBorder="1" applyFont="1">
      <alignment vertical="top"/>
    </xf>
    <xf borderId="1" fillId="6" fontId="6" numFmtId="0" xfId="0" applyAlignment="1" applyBorder="1" applyFont="1">
      <alignment vertical="top"/>
    </xf>
    <xf borderId="1" fillId="7" fontId="6" numFmtId="0" xfId="0" applyAlignment="1" applyBorder="1" applyFont="1">
      <alignment vertical="top"/>
    </xf>
    <xf borderId="1" fillId="6" fontId="6" numFmtId="0" xfId="0" applyAlignment="1" applyBorder="1" applyFont="1">
      <alignment shrinkToFit="0" vertical="top" wrapText="1"/>
    </xf>
    <xf borderId="1" fillId="8" fontId="6" numFmtId="0" xfId="0" applyAlignment="1" applyBorder="1" applyFont="1">
      <alignment vertical="top"/>
    </xf>
    <xf borderId="8" fillId="9" fontId="1" numFmtId="0" xfId="0" applyAlignment="1" applyBorder="1" applyFont="1">
      <alignment vertical="top"/>
    </xf>
    <xf borderId="8" fillId="0" fontId="1" numFmtId="0" xfId="0" applyAlignment="1" applyBorder="1" applyFont="1">
      <alignment vertical="top"/>
    </xf>
    <xf borderId="10" fillId="0" fontId="1" numFmtId="0" xfId="0" applyAlignment="1" applyBorder="1" applyFont="1">
      <alignment vertical="top"/>
    </xf>
    <xf borderId="10" fillId="10" fontId="1" numFmtId="0" xfId="0" applyAlignment="1" applyBorder="1" applyFont="1">
      <alignment vertical="top"/>
    </xf>
    <xf borderId="10" fillId="12" fontId="1" numFmtId="0" xfId="0" applyAlignment="1" applyBorder="1" applyFont="1">
      <alignment vertical="top"/>
    </xf>
    <xf borderId="8" fillId="9" fontId="1" numFmtId="0" xfId="0" applyAlignment="1" applyBorder="1" applyFont="1">
      <alignment vertical="top"/>
    </xf>
    <xf borderId="8" fillId="0" fontId="1" numFmtId="0" xfId="0" applyAlignment="1" applyBorder="1" applyFont="1">
      <alignment vertical="top"/>
    </xf>
    <xf borderId="10" fillId="0" fontId="1" numFmtId="0" xfId="0" applyAlignment="1" applyBorder="1" applyFont="1">
      <alignment vertical="top"/>
    </xf>
    <xf borderId="10" fillId="10" fontId="1" numFmtId="0" xfId="0" applyAlignment="1" applyBorder="1" applyFont="1">
      <alignment vertical="top"/>
    </xf>
    <xf borderId="11" fillId="9" fontId="1" numFmtId="0" xfId="0" applyAlignment="1" applyBorder="1" applyFont="1">
      <alignment vertical="top"/>
    </xf>
    <xf borderId="11" fillId="0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12" fillId="0" fontId="1" numFmtId="0" xfId="0" applyAlignment="1" applyBorder="1" applyFont="1">
      <alignment vertical="top"/>
    </xf>
    <xf borderId="6" fillId="10" fontId="1" numFmtId="0" xfId="0" applyAlignment="1" applyBorder="1" applyFont="1">
      <alignment vertical="top"/>
    </xf>
    <xf borderId="12" fillId="11" fontId="1" numFmtId="0" xfId="0" applyAlignment="1" applyBorder="1" applyFont="1">
      <alignment vertical="top"/>
    </xf>
    <xf borderId="0" fillId="0" fontId="1" numFmtId="0" xfId="0" applyAlignment="1" applyFont="1">
      <alignment horizontal="center" vertical="top"/>
    </xf>
    <xf borderId="0" fillId="13" fontId="9" numFmtId="0" xfId="0" applyAlignment="1" applyFill="1" applyFont="1">
      <alignment horizontal="center"/>
    </xf>
    <xf borderId="0" fillId="13" fontId="10" numFmtId="0" xfId="0" applyFont="1"/>
    <xf borderId="13" fillId="13" fontId="11" numFmtId="0" xfId="0" applyBorder="1" applyFont="1"/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center"/>
    </xf>
    <xf borderId="13" fillId="14" fontId="11" numFmtId="0" xfId="0" applyBorder="1" applyFill="1" applyFont="1"/>
    <xf borderId="0" fillId="0" fontId="10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left"/>
    </xf>
    <xf borderId="1" fillId="0" fontId="11" numFmtId="0" xfId="0" applyBorder="1" applyFont="1"/>
    <xf borderId="5" fillId="14" fontId="11" numFmtId="0" xfId="0" applyAlignment="1" applyBorder="1" applyFont="1">
      <alignment horizontal="center" vertical="center"/>
    </xf>
    <xf borderId="5" fillId="14" fontId="11" numFmtId="0" xfId="0" applyAlignment="1" applyBorder="1" applyFont="1">
      <alignment horizontal="center" shrinkToFit="0" vertical="center" wrapText="1"/>
    </xf>
    <xf borderId="1" fillId="14" fontId="11" numFmtId="20" xfId="0" applyBorder="1" applyFont="1" applyNumberFormat="1"/>
    <xf borderId="14" fillId="14" fontId="11" numFmtId="0" xfId="0" applyAlignment="1" applyBorder="1" applyFont="1">
      <alignment horizontal="left" shrinkToFit="0" wrapText="1"/>
    </xf>
    <xf borderId="0" fillId="0" fontId="11" numFmtId="0" xfId="0" applyAlignment="1" applyFont="1">
      <alignment vertical="center"/>
    </xf>
    <xf borderId="1" fillId="14" fontId="11" numFmtId="0" xfId="0" applyBorder="1" applyFont="1"/>
    <xf borderId="15" fillId="14" fontId="11" numFmtId="0" xfId="0" applyAlignment="1" applyBorder="1" applyFont="1">
      <alignment horizontal="left"/>
    </xf>
    <xf borderId="1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wrapText="1"/>
    </xf>
    <xf borderId="5" fillId="0" fontId="11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164" xfId="0" applyFont="1" applyNumberFormat="1"/>
    <xf borderId="1" fillId="0" fontId="11" numFmtId="0" xfId="0" applyAlignment="1" applyBorder="1" applyFont="1">
      <alignment horizontal="left"/>
    </xf>
    <xf borderId="8" fillId="0" fontId="11" numFmtId="0" xfId="0" applyAlignment="1" applyBorder="1" applyFont="1">
      <alignment horizontal="center" vertical="center"/>
    </xf>
    <xf borderId="10" fillId="0" fontId="5" numFmtId="0" xfId="0" applyBorder="1" applyFont="1"/>
    <xf borderId="8" fillId="0" fontId="5" numFmtId="0" xfId="0" applyBorder="1" applyFont="1"/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 shrinkToFit="0" wrapText="1"/>
    </xf>
    <xf borderId="11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0" fillId="13" fontId="13" numFmtId="0" xfId="0" applyFont="1"/>
    <xf borderId="0" fillId="0" fontId="9" numFmtId="0" xfId="0" applyAlignment="1" applyFont="1">
      <alignment horizontal="center"/>
    </xf>
    <xf borderId="5" fillId="0" fontId="11" numFmtId="0" xfId="0" applyBorder="1" applyFont="1"/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wrapText="1"/>
    </xf>
    <xf borderId="16" fillId="14" fontId="11" numFmtId="0" xfId="0" applyAlignment="1" applyBorder="1" applyFont="1">
      <alignment horizontal="center" vertical="center"/>
    </xf>
    <xf borderId="14" fillId="14" fontId="11" numFmtId="0" xfId="0" applyBorder="1" applyFont="1"/>
    <xf borderId="1" fillId="14" fontId="15" numFmtId="0" xfId="0" applyAlignment="1" applyBorder="1" applyFont="1">
      <alignment horizontal="center" readingOrder="0" shrinkToFit="0" wrapText="1"/>
    </xf>
    <xf borderId="13" fillId="14" fontId="17" numFmtId="0" xfId="0" applyAlignment="1" applyBorder="1" applyFont="1">
      <alignment shrinkToFit="0" wrapText="1"/>
    </xf>
    <xf borderId="15" fillId="14" fontId="11" numFmtId="0" xfId="0" applyAlignment="1" applyBorder="1" applyFont="1">
      <alignment vertical="center"/>
    </xf>
    <xf borderId="1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vertical="center"/>
    </xf>
    <xf borderId="7" fillId="0" fontId="11" numFmtId="0" xfId="0" applyAlignment="1" applyBorder="1" applyFont="1">
      <alignment horizontal="center" vertical="center"/>
    </xf>
    <xf borderId="5" fillId="0" fontId="15" numFmtId="0" xfId="0" applyAlignment="1" applyBorder="1" applyFont="1">
      <alignment readingOrder="0"/>
    </xf>
    <xf borderId="7" fillId="0" fontId="11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/>
    </xf>
    <xf borderId="18" fillId="0" fontId="5" numFmtId="0" xfId="0" applyBorder="1" applyFont="1"/>
    <xf borderId="19" fillId="0" fontId="5" numFmtId="0" xfId="0" applyBorder="1" applyFont="1"/>
    <xf borderId="20" fillId="0" fontId="11" numFmtId="0" xfId="0" applyBorder="1" applyFont="1"/>
    <xf borderId="21" fillId="0" fontId="11" numFmtId="0" xfId="0" applyBorder="1" applyFont="1"/>
    <xf borderId="22" fillId="14" fontId="11" numFmtId="0" xfId="0" applyAlignment="1" applyBorder="1" applyFont="1">
      <alignment horizontal="center"/>
    </xf>
    <xf borderId="9" fillId="0" fontId="11" numFmtId="0" xfId="0" applyBorder="1" applyFont="1"/>
    <xf borderId="9" fillId="0" fontId="11" numFmtId="0" xfId="0" applyAlignment="1" applyBorder="1" applyFont="1">
      <alignment horizontal="center"/>
    </xf>
    <xf borderId="23" fillId="0" fontId="11" numFmtId="0" xfId="0" applyBorder="1" applyFont="1"/>
    <xf borderId="0" fillId="0" fontId="1" numFmtId="0" xfId="0" applyAlignment="1" applyFont="1">
      <alignment readingOrder="0"/>
    </xf>
    <xf borderId="24" fillId="0" fontId="11" numFmtId="0" xfId="0" applyBorder="1" applyFont="1"/>
    <xf borderId="25" fillId="14" fontId="11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right" readingOrder="0"/>
    </xf>
    <xf borderId="8" fillId="0" fontId="11" numFmtId="0" xfId="0" applyBorder="1" applyFont="1"/>
    <xf borderId="25" fillId="14" fontId="11" numFmtId="0" xfId="0" applyAlignment="1" applyBorder="1" applyFont="1">
      <alignment shrinkToFit="0" wrapText="1"/>
    </xf>
    <xf borderId="0" fillId="0" fontId="15" numFmtId="0" xfId="0" applyAlignment="1" applyFont="1">
      <alignment horizontal="center" readingOrder="0"/>
    </xf>
    <xf borderId="13" fillId="14" fontId="11" numFmtId="0" xfId="0" applyAlignment="1" applyBorder="1" applyFont="1">
      <alignment shrinkToFit="0" wrapText="1"/>
    </xf>
    <xf borderId="0" fillId="0" fontId="17" numFmtId="0" xfId="0" applyFont="1"/>
    <xf borderId="11" fillId="0" fontId="11" numFmtId="0" xfId="0" applyBorder="1" applyFont="1"/>
    <xf borderId="26" fillId="14" fontId="11" numFmtId="0" xfId="0" applyBorder="1" applyFont="1"/>
    <xf borderId="12" fillId="0" fontId="11" numFmtId="0" xfId="0" applyBorder="1" applyFont="1"/>
    <xf borderId="12" fillId="0" fontId="11" numFmtId="0" xfId="0" applyAlignment="1" applyBorder="1" applyFont="1">
      <alignment horizontal="center"/>
    </xf>
    <xf borderId="26" fillId="14" fontId="11" numFmtId="0" xfId="0" applyAlignment="1" applyBorder="1" applyFont="1">
      <alignment horizontal="center"/>
    </xf>
    <xf borderId="27" fillId="0" fontId="11" numFmtId="0" xfId="0" applyBorder="1" applyFont="1"/>
    <xf borderId="22" fillId="14" fontId="11" numFmtId="0" xfId="0" applyAlignment="1" applyBorder="1" applyFont="1">
      <alignment horizontal="center" shrinkToFit="0" wrapText="1"/>
    </xf>
    <xf borderId="7" fillId="0" fontId="11" numFmtId="0" xfId="0" applyBorder="1" applyFont="1"/>
    <xf borderId="11" fillId="0" fontId="11" numFmtId="0" xfId="0" applyAlignment="1" applyBorder="1" applyFont="1">
      <alignment horizontal="right"/>
    </xf>
    <xf borderId="12" fillId="0" fontId="11" numFmtId="0" xfId="0" applyAlignment="1" applyBorder="1" applyFont="1">
      <alignment horizontal="right"/>
    </xf>
    <xf borderId="27" fillId="0" fontId="11" numFmtId="0" xfId="0" applyAlignment="1" applyBorder="1" applyFont="1">
      <alignment horizontal="right"/>
    </xf>
    <xf borderId="28" fillId="14" fontId="11" numFmtId="0" xfId="0" applyAlignment="1" applyBorder="1" applyFont="1">
      <alignment horizontal="center"/>
    </xf>
    <xf borderId="29" fillId="0" fontId="5" numFmtId="0" xfId="0" applyBorder="1" applyFont="1"/>
    <xf borderId="30" fillId="0" fontId="11" numFmtId="0" xfId="0" applyBorder="1" applyFont="1"/>
    <xf borderId="31" fillId="0" fontId="11" numFmtId="0" xfId="0" applyBorder="1" applyFont="1"/>
    <xf borderId="32" fillId="0" fontId="11" numFmtId="0" xfId="0" applyBorder="1" applyFont="1"/>
    <xf borderId="33" fillId="0" fontId="11" numFmtId="0" xfId="0" applyBorder="1" applyFont="1"/>
    <xf borderId="34" fillId="0" fontId="11" numFmtId="0" xfId="0" applyBorder="1" applyFont="1"/>
    <xf borderId="35" fillId="0" fontId="11" numFmtId="0" xfId="0" applyBorder="1" applyFont="1"/>
    <xf borderId="20" fillId="0" fontId="11" numFmtId="0" xfId="0" applyAlignment="1" applyBorder="1" applyFont="1">
      <alignment horizontal="center"/>
    </xf>
    <xf borderId="9" fillId="0" fontId="5" numFmtId="0" xfId="0" applyBorder="1" applyFont="1"/>
    <xf borderId="9" fillId="0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/>
    </xf>
    <xf borderId="0" fillId="0" fontId="18" numFmtId="0" xfId="0" applyFont="1"/>
    <xf borderId="0" fillId="0" fontId="11" numFmtId="9" xfId="0" applyFont="1" applyNumberFormat="1"/>
    <xf borderId="0" fillId="0" fontId="4" numFmtId="0" xfId="0" applyAlignment="1" applyFont="1">
      <alignment readingOrder="0"/>
    </xf>
    <xf borderId="0" fillId="0" fontId="19" numFmtId="0" xfId="0" applyFont="1"/>
    <xf borderId="7" fillId="0" fontId="15" numFmtId="0" xfId="0" applyAlignment="1" applyBorder="1" applyFont="1">
      <alignment readingOrder="0"/>
    </xf>
    <xf borderId="0" fillId="0" fontId="11" numFmtId="0" xfId="0" applyFont="1"/>
    <xf borderId="23" fillId="0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.co.th/Schemetic/PDF/NTSE0103HZ182_R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2.75"/>
    <col customWidth="1" min="3" max="3" width="6.38"/>
    <col customWidth="1" min="4" max="4" width="25.25"/>
    <col customWidth="1" min="8" max="8" width="21.13"/>
    <col customWidth="1" min="9" max="9" width="26.0"/>
    <col customWidth="1" min="10" max="10" width="21.0"/>
    <col customWidth="1" min="13" max="13" width="25.13"/>
  </cols>
  <sheetData>
    <row r="1">
      <c r="A1" s="1" t="s">
        <v>0</v>
      </c>
      <c r="B1" s="2"/>
      <c r="C1" s="3"/>
      <c r="D1" s="2"/>
      <c r="E1" s="2"/>
      <c r="F1" s="2"/>
      <c r="G1" s="2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>
      <c r="A3" s="4" t="s">
        <v>2</v>
      </c>
      <c r="B3" s="5" t="s">
        <v>3</v>
      </c>
      <c r="C3" s="6" t="s">
        <v>4</v>
      </c>
      <c r="D3" s="7" t="s">
        <v>5</v>
      </c>
      <c r="E3" s="8"/>
      <c r="F3" s="8"/>
      <c r="G3" s="8"/>
      <c r="H3" s="8"/>
      <c r="I3" s="8"/>
      <c r="J3" s="9"/>
      <c r="K3" s="10" t="s">
        <v>6</v>
      </c>
      <c r="L3" s="2"/>
      <c r="M3" s="10" t="s">
        <v>7</v>
      </c>
      <c r="N3" s="2"/>
      <c r="O3" s="2"/>
      <c r="P3" s="2"/>
      <c r="Q3" s="2"/>
      <c r="R3" s="2"/>
      <c r="S3" s="2"/>
      <c r="T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B4" s="11" t="s">
        <v>8</v>
      </c>
      <c r="C4" s="6"/>
      <c r="D4" s="11" t="s">
        <v>9</v>
      </c>
      <c r="E4" s="12" t="s">
        <v>10</v>
      </c>
      <c r="F4" s="13" t="s">
        <v>11</v>
      </c>
      <c r="G4" s="14" t="s">
        <v>12</v>
      </c>
      <c r="H4" s="15" t="s">
        <v>13</v>
      </c>
      <c r="I4" s="16" t="s">
        <v>14</v>
      </c>
      <c r="J4" s="17" t="s">
        <v>15</v>
      </c>
      <c r="K4" s="18">
        <f>SUM(K8,K6,K10,K14,K12)</f>
        <v>8</v>
      </c>
      <c r="L4" s="2"/>
      <c r="M4" s="1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>
      <c r="B5" s="20" t="s">
        <v>16</v>
      </c>
      <c r="C5" s="21">
        <v>1.0</v>
      </c>
      <c r="D5" s="20" t="s">
        <v>17</v>
      </c>
      <c r="E5" s="22" t="s">
        <v>18</v>
      </c>
      <c r="F5" s="23" t="s">
        <v>19</v>
      </c>
      <c r="G5" s="24" t="s">
        <v>20</v>
      </c>
      <c r="H5" s="25" t="s">
        <v>21</v>
      </c>
      <c r="I5" s="26" t="s">
        <v>22</v>
      </c>
      <c r="J5" s="27" t="s">
        <v>23</v>
      </c>
      <c r="K5" s="28" t="s">
        <v>18</v>
      </c>
      <c r="L5" s="2"/>
      <c r="M5" s="28" t="s">
        <v>18</v>
      </c>
      <c r="N5" s="29" t="s">
        <v>24</v>
      </c>
      <c r="O5" s="29" t="s">
        <v>25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>
      <c r="B6" s="30" t="s">
        <v>26</v>
      </c>
      <c r="C6" s="21">
        <v>2.0</v>
      </c>
      <c r="D6" s="30" t="s">
        <v>16</v>
      </c>
      <c r="E6" s="31" t="s">
        <v>18</v>
      </c>
      <c r="F6" s="32" t="s">
        <v>19</v>
      </c>
      <c r="G6" s="29" t="s">
        <v>20</v>
      </c>
      <c r="H6" s="33" t="s">
        <v>21</v>
      </c>
      <c r="I6" s="34" t="s">
        <v>27</v>
      </c>
      <c r="J6" s="35"/>
      <c r="K6" s="36">
        <f>countif(E5:E14,"AI")</f>
        <v>4</v>
      </c>
      <c r="L6" s="2"/>
      <c r="M6" s="37">
        <v>6.0</v>
      </c>
      <c r="N6" s="38">
        <v>1.0</v>
      </c>
      <c r="O6" s="38">
        <v>8.0</v>
      </c>
      <c r="P6" s="1" t="s">
        <v>28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>
      <c r="B7" s="30" t="s">
        <v>29</v>
      </c>
      <c r="C7" s="21">
        <v>3.0</v>
      </c>
      <c r="D7" s="30" t="s">
        <v>30</v>
      </c>
      <c r="E7" s="31" t="s">
        <v>18</v>
      </c>
      <c r="F7" s="32" t="s">
        <v>19</v>
      </c>
      <c r="G7" s="29" t="s">
        <v>20</v>
      </c>
      <c r="H7" s="33" t="s">
        <v>21</v>
      </c>
      <c r="I7" s="34" t="s">
        <v>27</v>
      </c>
      <c r="J7" s="35"/>
      <c r="K7" s="28" t="s">
        <v>31</v>
      </c>
      <c r="L7" s="2"/>
      <c r="M7" s="28" t="s">
        <v>31</v>
      </c>
      <c r="N7" s="29" t="s">
        <v>24</v>
      </c>
      <c r="O7" s="29" t="s">
        <v>25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>
      <c r="B8" s="30" t="s">
        <v>32</v>
      </c>
      <c r="C8" s="21">
        <v>4.0</v>
      </c>
      <c r="D8" s="30" t="s">
        <v>32</v>
      </c>
      <c r="E8" s="31" t="s">
        <v>18</v>
      </c>
      <c r="F8" s="32" t="s">
        <v>19</v>
      </c>
      <c r="G8" s="29" t="s">
        <v>20</v>
      </c>
      <c r="H8" s="33" t="s">
        <v>33</v>
      </c>
      <c r="I8" s="34" t="s">
        <v>27</v>
      </c>
      <c r="J8" s="39" t="s">
        <v>34</v>
      </c>
      <c r="K8" s="36">
        <f>countif(E5:E14, "AO")</f>
        <v>0</v>
      </c>
      <c r="L8" s="2"/>
      <c r="M8" s="40"/>
      <c r="N8" s="38">
        <v>0.0</v>
      </c>
      <c r="O8" s="38">
        <v>0.0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B9" s="30" t="s">
        <v>35</v>
      </c>
      <c r="C9" s="21">
        <v>5.0</v>
      </c>
      <c r="D9" s="30" t="s">
        <v>35</v>
      </c>
      <c r="E9" s="31" t="s">
        <v>36</v>
      </c>
      <c r="F9" s="32" t="s">
        <v>37</v>
      </c>
      <c r="G9" s="29" t="s">
        <v>38</v>
      </c>
      <c r="H9" s="33">
        <v>1.0</v>
      </c>
      <c r="I9" s="34" t="s">
        <v>39</v>
      </c>
      <c r="J9" s="41" t="s">
        <v>40</v>
      </c>
      <c r="K9" s="28" t="s">
        <v>36</v>
      </c>
      <c r="L9" s="2"/>
      <c r="M9" s="28" t="s">
        <v>36</v>
      </c>
      <c r="N9" s="29" t="s">
        <v>24</v>
      </c>
      <c r="O9" s="29" t="s">
        <v>25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>
      <c r="B10" s="42" t="s">
        <v>41</v>
      </c>
      <c r="C10" s="21">
        <v>6.0</v>
      </c>
      <c r="D10" s="42" t="s">
        <v>41</v>
      </c>
      <c r="E10" s="31" t="s">
        <v>36</v>
      </c>
      <c r="F10" s="32" t="s">
        <v>37</v>
      </c>
      <c r="G10" s="29" t="s">
        <v>42</v>
      </c>
      <c r="H10" s="33">
        <v>1.0</v>
      </c>
      <c r="I10" s="43" t="s">
        <v>43</v>
      </c>
      <c r="J10" s="44"/>
      <c r="K10" s="36">
        <f>countif(E5:E14, "DI")</f>
        <v>2</v>
      </c>
      <c r="L10" s="2"/>
      <c r="M10" s="37">
        <v>6.0</v>
      </c>
      <c r="N10" s="38">
        <v>0.0</v>
      </c>
      <c r="O10" s="38">
        <v>8.0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B11" s="45" t="s">
        <v>44</v>
      </c>
      <c r="C11" s="21">
        <v>7.0</v>
      </c>
      <c r="D11" s="45" t="s">
        <v>44</v>
      </c>
      <c r="E11" s="31" t="s">
        <v>45</v>
      </c>
      <c r="F11" s="32" t="s">
        <v>45</v>
      </c>
      <c r="G11" s="29" t="s">
        <v>46</v>
      </c>
      <c r="H11" s="33" t="s">
        <v>47</v>
      </c>
      <c r="I11" s="46" t="s">
        <v>48</v>
      </c>
      <c r="J11" s="41"/>
      <c r="K11" s="28" t="s">
        <v>49</v>
      </c>
      <c r="L11" s="2"/>
      <c r="M11" s="28" t="s">
        <v>49</v>
      </c>
      <c r="N11" s="29" t="s">
        <v>50</v>
      </c>
      <c r="O11" s="29" t="s">
        <v>25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>
      <c r="B12" s="47" t="s">
        <v>51</v>
      </c>
      <c r="C12" s="21">
        <v>8.0</v>
      </c>
      <c r="D12" s="47" t="s">
        <v>52</v>
      </c>
      <c r="E12" s="48" t="s">
        <v>45</v>
      </c>
      <c r="F12" s="49" t="s">
        <v>45</v>
      </c>
      <c r="G12" s="50" t="s">
        <v>46</v>
      </c>
      <c r="H12" s="51" t="s">
        <v>53</v>
      </c>
      <c r="I12" s="52" t="s">
        <v>48</v>
      </c>
      <c r="J12" s="44"/>
      <c r="K12" s="36">
        <f>countif(E5:E14, "DO")</f>
        <v>0</v>
      </c>
      <c r="L12" s="2"/>
      <c r="M12" s="37">
        <v>4.0</v>
      </c>
      <c r="N12" s="38">
        <v>0.0</v>
      </c>
      <c r="O12" s="38">
        <v>4.0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>
      <c r="B13" s="42"/>
      <c r="C13" s="21">
        <v>9.0</v>
      </c>
      <c r="D13" s="47"/>
      <c r="E13" s="48"/>
      <c r="F13" s="49"/>
      <c r="G13" s="50"/>
      <c r="H13" s="51"/>
      <c r="I13" s="52"/>
      <c r="J13" s="44"/>
      <c r="K13" s="28" t="s">
        <v>54</v>
      </c>
      <c r="L13" s="2"/>
      <c r="M13" s="28" t="s">
        <v>54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>
      <c r="B14" s="53"/>
      <c r="C14" s="54">
        <v>10.0</v>
      </c>
      <c r="D14" s="55"/>
      <c r="E14" s="56"/>
      <c r="F14" s="57"/>
      <c r="G14" s="58"/>
      <c r="H14" s="59"/>
      <c r="I14" s="60"/>
      <c r="J14" s="61"/>
      <c r="K14" s="36">
        <f>countif(E5:E14, "Communication")</f>
        <v>2</v>
      </c>
      <c r="L14" s="2"/>
      <c r="M14" s="62" t="s">
        <v>55</v>
      </c>
      <c r="N14" s="1" t="s">
        <v>56</v>
      </c>
      <c r="O14" s="2">
        <f>SUM(O6,O8,O10,O12)</f>
        <v>20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6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>
      <c r="A16" s="4" t="s">
        <v>57</v>
      </c>
      <c r="B16" s="5" t="s">
        <v>58</v>
      </c>
      <c r="C16" s="64" t="s">
        <v>4</v>
      </c>
      <c r="D16" s="7" t="s">
        <v>5</v>
      </c>
      <c r="E16" s="8"/>
      <c r="F16" s="8"/>
      <c r="G16" s="8"/>
      <c r="H16" s="8"/>
      <c r="I16" s="8"/>
      <c r="J16" s="9"/>
      <c r="K16" s="10" t="s">
        <v>6</v>
      </c>
      <c r="L16" s="2"/>
      <c r="M16" s="2"/>
      <c r="N16" s="63"/>
      <c r="O16" s="2"/>
      <c r="P16" s="2"/>
      <c r="Q16" s="2"/>
      <c r="R16" s="2"/>
      <c r="S16" s="2"/>
      <c r="T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>
      <c r="B17" s="11" t="s">
        <v>8</v>
      </c>
      <c r="C17" s="6"/>
      <c r="D17" s="11" t="s">
        <v>9</v>
      </c>
      <c r="E17" s="12" t="s">
        <v>10</v>
      </c>
      <c r="F17" s="13" t="s">
        <v>11</v>
      </c>
      <c r="G17" s="14" t="s">
        <v>12</v>
      </c>
      <c r="H17" s="15" t="s">
        <v>13</v>
      </c>
      <c r="I17" s="16" t="s">
        <v>14</v>
      </c>
      <c r="J17" s="17" t="s">
        <v>15</v>
      </c>
      <c r="K17" s="18">
        <f>SUM(K19,K21,K23,K25,K27)</f>
        <v>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B18" s="20" t="s">
        <v>59</v>
      </c>
      <c r="C18" s="21">
        <v>1.0</v>
      </c>
      <c r="D18" s="20" t="s">
        <v>59</v>
      </c>
      <c r="E18" s="22" t="s">
        <v>18</v>
      </c>
      <c r="F18" s="23" t="s">
        <v>19</v>
      </c>
      <c r="G18" s="24" t="s">
        <v>46</v>
      </c>
      <c r="H18" s="25" t="s">
        <v>60</v>
      </c>
      <c r="I18" s="65"/>
      <c r="J18" s="66"/>
      <c r="K18" s="28" t="s">
        <v>18</v>
      </c>
      <c r="L18" s="2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>
      <c r="B19" s="30" t="s">
        <v>61</v>
      </c>
      <c r="C19" s="21">
        <v>2.0</v>
      </c>
      <c r="D19" s="30" t="s">
        <v>61</v>
      </c>
      <c r="E19" s="31" t="s">
        <v>18</v>
      </c>
      <c r="F19" s="32" t="s">
        <v>19</v>
      </c>
      <c r="G19" s="29" t="s">
        <v>46</v>
      </c>
      <c r="H19" s="33" t="s">
        <v>60</v>
      </c>
      <c r="I19" s="67"/>
      <c r="J19" s="35"/>
      <c r="K19" s="36">
        <f>countif(E18:E27,"AI")</f>
        <v>5</v>
      </c>
      <c r="L19" s="2"/>
      <c r="M19" s="6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>
      <c r="B20" s="30" t="s">
        <v>62</v>
      </c>
      <c r="C20" s="21">
        <v>3.0</v>
      </c>
      <c r="D20" s="30" t="s">
        <v>62</v>
      </c>
      <c r="E20" s="31" t="s">
        <v>18</v>
      </c>
      <c r="F20" s="32" t="s">
        <v>19</v>
      </c>
      <c r="G20" s="29" t="s">
        <v>46</v>
      </c>
      <c r="H20" s="33" t="s">
        <v>60</v>
      </c>
      <c r="I20" s="34" t="s">
        <v>63</v>
      </c>
      <c r="J20" s="35"/>
      <c r="K20" s="28" t="s">
        <v>31</v>
      </c>
      <c r="L20" s="2"/>
      <c r="M20" s="63"/>
      <c r="N20" s="6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>
      <c r="B21" s="30" t="s">
        <v>64</v>
      </c>
      <c r="C21" s="21">
        <v>4.0</v>
      </c>
      <c r="D21" s="30" t="s">
        <v>65</v>
      </c>
      <c r="E21" s="31" t="s">
        <v>18</v>
      </c>
      <c r="F21" s="32" t="s">
        <v>19</v>
      </c>
      <c r="G21" s="29" t="s">
        <v>20</v>
      </c>
      <c r="H21" s="33" t="s">
        <v>66</v>
      </c>
      <c r="I21" s="68" t="s">
        <v>43</v>
      </c>
      <c r="J21" s="69" t="s">
        <v>67</v>
      </c>
      <c r="K21" s="36">
        <f>countif(E18:E27, "AO")</f>
        <v>0</v>
      </c>
      <c r="L21" s="2"/>
      <c r="M21" s="63"/>
      <c r="N21" s="6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>
      <c r="B22" s="42" t="s">
        <v>68</v>
      </c>
      <c r="C22" s="21">
        <v>5.0</v>
      </c>
      <c r="D22" s="42" t="s">
        <v>64</v>
      </c>
      <c r="E22" s="31" t="s">
        <v>18</v>
      </c>
      <c r="F22" s="32" t="s">
        <v>19</v>
      </c>
      <c r="G22" s="29" t="s">
        <v>20</v>
      </c>
      <c r="H22" s="33" t="s">
        <v>66</v>
      </c>
      <c r="I22" s="70" t="s">
        <v>43</v>
      </c>
      <c r="J22" s="44"/>
      <c r="K22" s="28" t="s">
        <v>36</v>
      </c>
      <c r="L22" s="2"/>
      <c r="M22" s="63"/>
      <c r="N22" s="6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>
      <c r="B23" s="45" t="s">
        <v>51</v>
      </c>
      <c r="C23" s="21">
        <v>6.0</v>
      </c>
      <c r="D23" s="30"/>
      <c r="E23" s="31"/>
      <c r="F23" s="32"/>
      <c r="G23" s="29"/>
      <c r="H23" s="33"/>
      <c r="I23" s="68"/>
      <c r="J23" s="41"/>
      <c r="K23" s="36">
        <f>countif(E18:E27, "DI")</f>
        <v>0</v>
      </c>
      <c r="L23" s="2"/>
      <c r="M23" s="63"/>
      <c r="N23" s="6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>
      <c r="B24" s="45" t="s">
        <v>51</v>
      </c>
      <c r="C24" s="21">
        <v>7.0</v>
      </c>
      <c r="D24" s="30" t="s">
        <v>44</v>
      </c>
      <c r="E24" s="31" t="s">
        <v>45</v>
      </c>
      <c r="F24" s="32" t="s">
        <v>45</v>
      </c>
      <c r="G24" s="29" t="s">
        <v>46</v>
      </c>
      <c r="H24" s="33" t="s">
        <v>47</v>
      </c>
      <c r="I24" s="68" t="s">
        <v>69</v>
      </c>
      <c r="J24" s="71"/>
      <c r="K24" s="28" t="s">
        <v>49</v>
      </c>
      <c r="L24" s="2"/>
      <c r="M24" s="63"/>
      <c r="N24" s="6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>
      <c r="B25" s="30"/>
      <c r="C25" s="21">
        <v>8.0</v>
      </c>
      <c r="D25" s="30"/>
      <c r="E25" s="31"/>
      <c r="F25" s="32"/>
      <c r="G25" s="29"/>
      <c r="H25" s="33"/>
      <c r="I25" s="70"/>
      <c r="J25" s="44"/>
      <c r="K25" s="36">
        <f>countif(E18:E27, "DO")</f>
        <v>0</v>
      </c>
      <c r="L25" s="2"/>
      <c r="M25" s="2"/>
      <c r="N25" s="2"/>
      <c r="O25" s="6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>
      <c r="B26" s="72"/>
      <c r="C26" s="21">
        <v>9.0</v>
      </c>
      <c r="D26" s="72"/>
      <c r="E26" s="73"/>
      <c r="F26" s="74"/>
      <c r="G26" s="75"/>
      <c r="H26" s="76"/>
      <c r="I26" s="70"/>
      <c r="J26" s="44"/>
      <c r="K26" s="28" t="s">
        <v>54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>
      <c r="B27" s="53"/>
      <c r="C27" s="54">
        <v>10.0</v>
      </c>
      <c r="D27" s="53"/>
      <c r="E27" s="77"/>
      <c r="F27" s="78"/>
      <c r="G27" s="79"/>
      <c r="H27" s="59"/>
      <c r="I27" s="60"/>
      <c r="J27" s="61"/>
      <c r="K27" s="36">
        <f>countif(E18:E27, "Communication")</f>
        <v>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>
      <c r="A29" s="4" t="s">
        <v>70</v>
      </c>
      <c r="B29" s="5" t="s">
        <v>71</v>
      </c>
      <c r="C29" s="64" t="s">
        <v>4</v>
      </c>
      <c r="D29" s="7" t="s">
        <v>72</v>
      </c>
      <c r="E29" s="8"/>
      <c r="F29" s="8"/>
      <c r="G29" s="8"/>
      <c r="H29" s="8"/>
      <c r="I29" s="8"/>
      <c r="J29" s="9"/>
      <c r="K29" s="10" t="s">
        <v>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>
      <c r="B30" s="11" t="s">
        <v>8</v>
      </c>
      <c r="C30" s="6"/>
      <c r="D30" s="11" t="s">
        <v>9</v>
      </c>
      <c r="E30" s="12" t="s">
        <v>10</v>
      </c>
      <c r="F30" s="13" t="s">
        <v>11</v>
      </c>
      <c r="G30" s="14" t="s">
        <v>12</v>
      </c>
      <c r="H30" s="15" t="s">
        <v>13</v>
      </c>
      <c r="I30" s="16" t="s">
        <v>14</v>
      </c>
      <c r="J30" s="17" t="s">
        <v>15</v>
      </c>
      <c r="K30" s="18">
        <f>SUM(K32,K34,K36,K38,K40)</f>
        <v>10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>
      <c r="B31" s="30" t="s">
        <v>73</v>
      </c>
      <c r="C31" s="21">
        <v>1.0</v>
      </c>
      <c r="D31" s="30" t="s">
        <v>73</v>
      </c>
      <c r="E31" s="31" t="s">
        <v>49</v>
      </c>
      <c r="F31" s="32" t="s">
        <v>37</v>
      </c>
      <c r="G31" s="29" t="s">
        <v>38</v>
      </c>
      <c r="H31" s="33" t="s">
        <v>74</v>
      </c>
      <c r="I31" s="34" t="s">
        <v>75</v>
      </c>
      <c r="J31" s="35"/>
      <c r="K31" s="28" t="s">
        <v>18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>
      <c r="B32" s="30" t="s">
        <v>76</v>
      </c>
      <c r="C32" s="21">
        <v>2.0</v>
      </c>
      <c r="D32" s="30" t="s">
        <v>76</v>
      </c>
      <c r="E32" s="31" t="s">
        <v>36</v>
      </c>
      <c r="F32" s="32" t="s">
        <v>37</v>
      </c>
      <c r="G32" s="29" t="s">
        <v>42</v>
      </c>
      <c r="H32" s="33">
        <v>1.0</v>
      </c>
      <c r="I32" s="67"/>
      <c r="J32" s="35"/>
      <c r="K32" s="36">
        <f>countif(E31:E40,"AI")</f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>
      <c r="B33" s="30" t="s">
        <v>77</v>
      </c>
      <c r="C33" s="21">
        <v>3.0</v>
      </c>
      <c r="D33" s="30" t="s">
        <v>77</v>
      </c>
      <c r="E33" s="31" t="s">
        <v>36</v>
      </c>
      <c r="F33" s="32" t="s">
        <v>37</v>
      </c>
      <c r="G33" s="29" t="s">
        <v>42</v>
      </c>
      <c r="H33" s="33">
        <v>1.0</v>
      </c>
      <c r="I33" s="67"/>
      <c r="J33" s="35"/>
      <c r="K33" s="28" t="s">
        <v>31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>
      <c r="B34" s="30" t="s">
        <v>44</v>
      </c>
      <c r="C34" s="21">
        <v>4.0</v>
      </c>
      <c r="D34" s="30" t="s">
        <v>44</v>
      </c>
      <c r="E34" s="31" t="s">
        <v>45</v>
      </c>
      <c r="F34" s="32" t="s">
        <v>45</v>
      </c>
      <c r="G34" s="29" t="s">
        <v>46</v>
      </c>
      <c r="H34" s="33" t="s">
        <v>47</v>
      </c>
      <c r="I34" s="68" t="s">
        <v>43</v>
      </c>
      <c r="J34" s="35"/>
      <c r="K34" s="36">
        <f>countif(E31:E40, "AO")</f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>
      <c r="B35" s="30" t="s">
        <v>78</v>
      </c>
      <c r="C35" s="21">
        <v>5.0</v>
      </c>
      <c r="D35" s="30" t="s">
        <v>78</v>
      </c>
      <c r="E35" s="31" t="s">
        <v>36</v>
      </c>
      <c r="F35" s="32" t="s">
        <v>37</v>
      </c>
      <c r="G35" s="29" t="s">
        <v>42</v>
      </c>
      <c r="H35" s="33">
        <v>1.0</v>
      </c>
      <c r="I35" s="67"/>
      <c r="J35" s="35"/>
      <c r="K35" s="28" t="s">
        <v>36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>
      <c r="B36" s="30" t="s">
        <v>79</v>
      </c>
      <c r="C36" s="21">
        <v>6.0</v>
      </c>
      <c r="D36" s="30" t="s">
        <v>79</v>
      </c>
      <c r="E36" s="31" t="s">
        <v>36</v>
      </c>
      <c r="F36" s="32" t="s">
        <v>37</v>
      </c>
      <c r="G36" s="29" t="s">
        <v>42</v>
      </c>
      <c r="H36" s="33">
        <v>1.0</v>
      </c>
      <c r="I36" s="80"/>
      <c r="J36" s="35"/>
      <c r="K36" s="36">
        <f>countif(E31:E40, "DI")</f>
        <v>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>
      <c r="B37" s="30" t="s">
        <v>80</v>
      </c>
      <c r="C37" s="21">
        <v>7.0</v>
      </c>
      <c r="D37" s="30" t="s">
        <v>80</v>
      </c>
      <c r="E37" s="31" t="s">
        <v>36</v>
      </c>
      <c r="F37" s="32" t="s">
        <v>37</v>
      </c>
      <c r="G37" s="29" t="s">
        <v>42</v>
      </c>
      <c r="H37" s="33">
        <v>1.0</v>
      </c>
      <c r="I37" s="81"/>
      <c r="J37" s="35"/>
      <c r="K37" s="28" t="s">
        <v>49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>
      <c r="B38" s="30" t="s">
        <v>81</v>
      </c>
      <c r="C38" s="21">
        <v>8.0</v>
      </c>
      <c r="D38" s="30" t="s">
        <v>81</v>
      </c>
      <c r="E38" s="31" t="s">
        <v>18</v>
      </c>
      <c r="F38" s="32" t="s">
        <v>19</v>
      </c>
      <c r="G38" s="29" t="s">
        <v>46</v>
      </c>
      <c r="H38" s="33" t="s">
        <v>60</v>
      </c>
      <c r="I38" s="81"/>
      <c r="J38" s="35"/>
      <c r="K38" s="36">
        <f>countif(E31:E40, "DO")</f>
        <v>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>
      <c r="B39" s="30" t="s">
        <v>76</v>
      </c>
      <c r="C39" s="21">
        <v>9.0</v>
      </c>
      <c r="D39" s="30" t="s">
        <v>76</v>
      </c>
      <c r="E39" s="31" t="s">
        <v>49</v>
      </c>
      <c r="F39" s="32" t="s">
        <v>37</v>
      </c>
      <c r="G39" s="29" t="s">
        <v>42</v>
      </c>
      <c r="H39" s="33">
        <v>1.0</v>
      </c>
      <c r="I39" s="34" t="s">
        <v>43</v>
      </c>
      <c r="J39" s="35"/>
      <c r="K39" s="28" t="s">
        <v>54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>
      <c r="B40" s="30" t="s">
        <v>77</v>
      </c>
      <c r="C40" s="54">
        <v>10.0</v>
      </c>
      <c r="D40" s="30" t="s">
        <v>77</v>
      </c>
      <c r="E40" s="82" t="s">
        <v>49</v>
      </c>
      <c r="F40" s="62" t="s">
        <v>37</v>
      </c>
      <c r="G40" s="83" t="s">
        <v>42</v>
      </c>
      <c r="H40" s="84">
        <v>1.0</v>
      </c>
      <c r="I40" s="85" t="s">
        <v>43</v>
      </c>
      <c r="J40" s="86"/>
      <c r="K40" s="36">
        <f>countif(E31:E40, "Communication")</f>
        <v>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>
      <c r="A41" s="63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>
      <c r="A42" s="4" t="s">
        <v>82</v>
      </c>
      <c r="B42" s="5" t="s">
        <v>83</v>
      </c>
      <c r="C42" s="64" t="s">
        <v>4</v>
      </c>
      <c r="D42" s="7" t="s">
        <v>5</v>
      </c>
      <c r="E42" s="8"/>
      <c r="F42" s="8"/>
      <c r="G42" s="8"/>
      <c r="H42" s="8"/>
      <c r="I42" s="8"/>
      <c r="J42" s="9"/>
      <c r="K42" s="10" t="s">
        <v>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>
      <c r="B43" s="11" t="s">
        <v>8</v>
      </c>
      <c r="C43" s="6"/>
      <c r="D43" s="11" t="s">
        <v>9</v>
      </c>
      <c r="E43" s="12" t="s">
        <v>10</v>
      </c>
      <c r="F43" s="13" t="s">
        <v>11</v>
      </c>
      <c r="G43" s="14" t="s">
        <v>12</v>
      </c>
      <c r="H43" s="15" t="s">
        <v>13</v>
      </c>
      <c r="I43" s="16" t="s">
        <v>14</v>
      </c>
      <c r="J43" s="17" t="s">
        <v>15</v>
      </c>
      <c r="K43" s="18">
        <f>SUM(K45,K47,K49,K51,K53)</f>
        <v>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>
      <c r="B44" s="30" t="s">
        <v>84</v>
      </c>
      <c r="C44" s="21">
        <v>1.0</v>
      </c>
      <c r="D44" s="30" t="s">
        <v>84</v>
      </c>
      <c r="E44" s="31" t="s">
        <v>18</v>
      </c>
      <c r="F44" s="32" t="s">
        <v>19</v>
      </c>
      <c r="G44" s="29" t="s">
        <v>46</v>
      </c>
      <c r="H44" s="33" t="s">
        <v>60</v>
      </c>
      <c r="I44" s="34" t="s">
        <v>85</v>
      </c>
      <c r="J44" s="87" t="s">
        <v>86</v>
      </c>
      <c r="K44" s="28" t="s">
        <v>18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>
      <c r="B45" s="30" t="s">
        <v>84</v>
      </c>
      <c r="C45" s="21">
        <v>2.0</v>
      </c>
      <c r="D45" s="30" t="s">
        <v>84</v>
      </c>
      <c r="E45" s="31" t="s">
        <v>18</v>
      </c>
      <c r="F45" s="32" t="s">
        <v>19</v>
      </c>
      <c r="G45" s="29" t="s">
        <v>46</v>
      </c>
      <c r="H45" s="33" t="s">
        <v>60</v>
      </c>
      <c r="I45" s="34" t="s">
        <v>87</v>
      </c>
      <c r="J45" s="87" t="s">
        <v>86</v>
      </c>
      <c r="K45" s="36">
        <f>countif(E44:E53,"AI")</f>
        <v>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>
      <c r="B46" s="30" t="s">
        <v>59</v>
      </c>
      <c r="C46" s="21">
        <v>3.0</v>
      </c>
      <c r="D46" s="30" t="s">
        <v>59</v>
      </c>
      <c r="E46" s="31" t="s">
        <v>18</v>
      </c>
      <c r="F46" s="32" t="s">
        <v>19</v>
      </c>
      <c r="G46" s="29" t="s">
        <v>46</v>
      </c>
      <c r="H46" s="33" t="s">
        <v>60</v>
      </c>
      <c r="I46" s="67"/>
      <c r="J46" s="35"/>
      <c r="K46" s="28" t="s">
        <v>31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>
      <c r="B47" s="30" t="s">
        <v>61</v>
      </c>
      <c r="C47" s="21">
        <v>4.0</v>
      </c>
      <c r="D47" s="30" t="s">
        <v>61</v>
      </c>
      <c r="E47" s="31" t="s">
        <v>18</v>
      </c>
      <c r="F47" s="32" t="s">
        <v>19</v>
      </c>
      <c r="G47" s="29" t="s">
        <v>46</v>
      </c>
      <c r="H47" s="33" t="s">
        <v>60</v>
      </c>
      <c r="I47" s="67"/>
      <c r="J47" s="35"/>
      <c r="K47" s="36">
        <f>countif(E44:E53, "AO")</f>
        <v>0</v>
      </c>
      <c r="L47" s="2"/>
      <c r="M47" s="2"/>
      <c r="N47" s="6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>
      <c r="B48" s="30" t="s">
        <v>88</v>
      </c>
      <c r="C48" s="21">
        <v>5.0</v>
      </c>
      <c r="D48" s="30" t="s">
        <v>88</v>
      </c>
      <c r="E48" s="31" t="s">
        <v>49</v>
      </c>
      <c r="F48" s="32" t="s">
        <v>37</v>
      </c>
      <c r="G48" s="29" t="s">
        <v>20</v>
      </c>
      <c r="H48" s="33" t="s">
        <v>21</v>
      </c>
      <c r="I48" s="68" t="s">
        <v>89</v>
      </c>
      <c r="J48" s="35"/>
      <c r="K48" s="28" t="s">
        <v>36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>
      <c r="B49" s="45" t="s">
        <v>51</v>
      </c>
      <c r="C49" s="21">
        <v>6.0</v>
      </c>
      <c r="D49" s="30" t="s">
        <v>44</v>
      </c>
      <c r="E49" s="31" t="s">
        <v>45</v>
      </c>
      <c r="F49" s="32" t="s">
        <v>45</v>
      </c>
      <c r="G49" s="29" t="s">
        <v>46</v>
      </c>
      <c r="H49" s="33" t="s">
        <v>90</v>
      </c>
      <c r="I49" s="68" t="s">
        <v>43</v>
      </c>
      <c r="J49" s="35"/>
      <c r="K49" s="36">
        <f>countif(E44:E53, "DI")</f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>
      <c r="B50" s="30"/>
      <c r="C50" s="21">
        <v>7.0</v>
      </c>
      <c r="D50" s="47" t="s">
        <v>52</v>
      </c>
      <c r="E50" s="48" t="s">
        <v>45</v>
      </c>
      <c r="F50" s="49" t="s">
        <v>45</v>
      </c>
      <c r="G50" s="50" t="s">
        <v>46</v>
      </c>
      <c r="H50" s="51" t="s">
        <v>53</v>
      </c>
      <c r="I50" s="52" t="s">
        <v>48</v>
      </c>
      <c r="J50" s="44"/>
      <c r="K50" s="28" t="s">
        <v>49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>
      <c r="B51" s="72"/>
      <c r="C51" s="21">
        <v>8.0</v>
      </c>
      <c r="D51" s="47" t="s">
        <v>91</v>
      </c>
      <c r="E51" s="73"/>
      <c r="F51" s="74"/>
      <c r="G51" s="75"/>
      <c r="H51" s="76"/>
      <c r="I51" s="70"/>
      <c r="J51" s="44"/>
      <c r="K51" s="36">
        <f>countif(E44:E53, "DO")</f>
        <v>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>
      <c r="B52" s="72"/>
      <c r="C52" s="21">
        <v>9.0</v>
      </c>
      <c r="D52" s="72"/>
      <c r="E52" s="73"/>
      <c r="F52" s="74"/>
      <c r="G52" s="75"/>
      <c r="H52" s="76"/>
      <c r="I52" s="70"/>
      <c r="J52" s="44"/>
      <c r="K52" s="28" t="s">
        <v>54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>
      <c r="B53" s="53"/>
      <c r="C53" s="54">
        <v>10.0</v>
      </c>
      <c r="D53" s="53"/>
      <c r="E53" s="77"/>
      <c r="F53" s="78"/>
      <c r="G53" s="79"/>
      <c r="H53" s="59"/>
      <c r="I53" s="60"/>
      <c r="J53" s="61"/>
      <c r="K53" s="36">
        <f>countif(E44:E53, "Communication")</f>
        <v>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>
      <c r="A55" s="4" t="s">
        <v>92</v>
      </c>
      <c r="B55" s="5" t="s">
        <v>93</v>
      </c>
      <c r="C55" s="64" t="s">
        <v>4</v>
      </c>
      <c r="D55" s="7" t="s">
        <v>94</v>
      </c>
      <c r="E55" s="8"/>
      <c r="F55" s="8"/>
      <c r="G55" s="8"/>
      <c r="H55" s="8"/>
      <c r="I55" s="8"/>
      <c r="J55" s="9"/>
      <c r="K55" s="88" t="s">
        <v>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>
      <c r="B56" s="11"/>
      <c r="C56" s="89"/>
      <c r="D56" s="11"/>
      <c r="E56" s="90" t="s">
        <v>10</v>
      </c>
      <c r="F56" s="91" t="s">
        <v>11</v>
      </c>
      <c r="G56" s="92" t="s">
        <v>12</v>
      </c>
      <c r="H56" s="93" t="s">
        <v>13</v>
      </c>
      <c r="I56" s="94" t="s">
        <v>14</v>
      </c>
      <c r="J56" s="95" t="s">
        <v>15</v>
      </c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>
      <c r="B57" s="96"/>
      <c r="C57" s="21">
        <v>1.0</v>
      </c>
      <c r="D57" s="96"/>
      <c r="E57" s="97"/>
      <c r="F57" s="98"/>
      <c r="G57" s="63"/>
      <c r="H57" s="99"/>
      <c r="I57" s="67"/>
      <c r="J57" s="100"/>
      <c r="K57" s="28" t="s">
        <v>18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>
      <c r="B58" s="96"/>
      <c r="C58" s="21">
        <v>2.0</v>
      </c>
      <c r="D58" s="96"/>
      <c r="E58" s="97"/>
      <c r="F58" s="98"/>
      <c r="G58" s="63"/>
      <c r="H58" s="99"/>
      <c r="I58" s="67"/>
      <c r="J58" s="100"/>
      <c r="K58" s="37">
        <f>countif(E57:E66,"AI")</f>
        <v>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>
      <c r="B59" s="96"/>
      <c r="C59" s="21">
        <v>3.0</v>
      </c>
      <c r="D59" s="96"/>
      <c r="E59" s="97"/>
      <c r="F59" s="98"/>
      <c r="G59" s="63"/>
      <c r="H59" s="99"/>
      <c r="I59" s="67"/>
      <c r="J59" s="35"/>
      <c r="K59" s="28" t="s">
        <v>31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>
      <c r="B60" s="96"/>
      <c r="C60" s="21">
        <v>4.0</v>
      </c>
      <c r="D60" s="96"/>
      <c r="E60" s="97"/>
      <c r="F60" s="98"/>
      <c r="G60" s="63"/>
      <c r="H60" s="99"/>
      <c r="I60" s="67"/>
      <c r="J60" s="35"/>
      <c r="K60" s="36">
        <f>countif(E57:E66, "AO")</f>
        <v>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>
      <c r="B61" s="96"/>
      <c r="C61" s="21">
        <v>5.0</v>
      </c>
      <c r="D61" s="96"/>
      <c r="E61" s="97"/>
      <c r="F61" s="98"/>
      <c r="G61" s="63"/>
      <c r="H61" s="99"/>
      <c r="I61" s="67"/>
      <c r="J61" s="35"/>
      <c r="K61" s="28" t="s">
        <v>36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>
      <c r="B62" s="96"/>
      <c r="C62" s="21">
        <v>6.0</v>
      </c>
      <c r="D62" s="96"/>
      <c r="E62" s="97"/>
      <c r="F62" s="98"/>
      <c r="G62" s="63"/>
      <c r="H62" s="99"/>
      <c r="I62" s="80"/>
      <c r="J62" s="35"/>
      <c r="K62" s="36">
        <f>countif(E57:E66, "DI")</f>
        <v>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>
      <c r="B63" s="96"/>
      <c r="C63" s="21">
        <v>7.0</v>
      </c>
      <c r="D63" s="96"/>
      <c r="E63" s="97"/>
      <c r="F63" s="98"/>
      <c r="G63" s="63"/>
      <c r="H63" s="99"/>
      <c r="I63" s="67"/>
      <c r="J63" s="35"/>
      <c r="K63" s="28" t="s">
        <v>49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>
      <c r="B64" s="96"/>
      <c r="C64" s="21">
        <v>8.0</v>
      </c>
      <c r="D64" s="96"/>
      <c r="E64" s="97"/>
      <c r="F64" s="98"/>
      <c r="G64" s="63"/>
      <c r="H64" s="99"/>
      <c r="I64" s="67"/>
      <c r="J64" s="35"/>
      <c r="K64" s="36">
        <f>countif(E57:E66, "DO")</f>
        <v>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>
      <c r="B65" s="101"/>
      <c r="C65" s="21">
        <v>9.0</v>
      </c>
      <c r="D65" s="101"/>
      <c r="E65" s="102"/>
      <c r="F65" s="103"/>
      <c r="G65" s="2"/>
      <c r="H65" s="104"/>
      <c r="I65" s="81"/>
      <c r="J65" s="35"/>
      <c r="K65" s="28" t="s">
        <v>54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>
      <c r="B66" s="105"/>
      <c r="C66" s="54">
        <v>10.0</v>
      </c>
      <c r="D66" s="105"/>
      <c r="E66" s="106"/>
      <c r="F66" s="107"/>
      <c r="G66" s="108"/>
      <c r="H66" s="109"/>
      <c r="I66" s="110"/>
      <c r="J66" s="86"/>
      <c r="K66" s="36">
        <f>countif(E57:E66, "Communication")</f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>
      <c r="A67" s="2"/>
      <c r="B67" s="2"/>
      <c r="C67" s="111"/>
      <c r="D67" s="2"/>
      <c r="E67" s="2"/>
      <c r="F67" s="2"/>
      <c r="G67" s="2"/>
      <c r="H67" s="2"/>
      <c r="I67" s="2"/>
      <c r="J67" s="2"/>
      <c r="K67" s="6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>
      <c r="A68" s="2"/>
      <c r="B68" s="2"/>
      <c r="C68" s="11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</sheetData>
  <mergeCells count="14">
    <mergeCell ref="D16:J16"/>
    <mergeCell ref="D29:J29"/>
    <mergeCell ref="A42:A53"/>
    <mergeCell ref="D42:J42"/>
    <mergeCell ref="A55:A66"/>
    <mergeCell ref="D55:J55"/>
    <mergeCell ref="K55:K56"/>
    <mergeCell ref="A3:A14"/>
    <mergeCell ref="D3:J3"/>
    <mergeCell ref="M3:M4"/>
    <mergeCell ref="T3:X3"/>
    <mergeCell ref="A16:A27"/>
    <mergeCell ref="T16:X16"/>
    <mergeCell ref="A29:A40"/>
  </mergeCells>
  <dataValidations>
    <dataValidation type="list" allowBlank="1" showErrorMessage="1" sqref="G5:G14 G18:G27 G31:G40 G44:G53 G57:G66">
      <formula1>"0-3.3V,0-5.0V,0-12V,0-24V"</formula1>
    </dataValidation>
    <dataValidation type="list" allowBlank="1" showErrorMessage="1" sqref="E5:E14 E18:E27 E31:E40 E44:E53 E57:E66">
      <formula1>"AI,AO,DI,DO,Communication"</formula1>
    </dataValidation>
    <dataValidation type="list" allowBlank="1" showErrorMessage="1" sqref="F5:F14 F18:F27 F31:F40 F44:F53 F57:F66">
      <formula1>"Analog,Digital,Communication"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8.75"/>
    <col customWidth="1" min="3" max="3" width="26.0"/>
    <col customWidth="1" min="4" max="4" width="13.0"/>
    <col customWidth="1" min="5" max="5" width="7.13"/>
    <col customWidth="1" min="6" max="6" width="18.25"/>
    <col customWidth="1" min="7" max="7" width="55.38"/>
    <col customWidth="1" min="8" max="8" width="48.13"/>
    <col customWidth="1" min="9" max="9" width="8.63"/>
    <col customWidth="1" min="10" max="10" width="2.0"/>
    <col customWidth="1" min="11" max="11" width="16.75"/>
    <col customWidth="1" min="12" max="12" width="8.88"/>
    <col customWidth="1" min="13" max="13" width="15.0"/>
    <col customWidth="1" min="14" max="26" width="8.63"/>
  </cols>
  <sheetData>
    <row r="1">
      <c r="A1" s="112"/>
      <c r="K1" s="113"/>
      <c r="L1" s="114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>
      <c r="A2" s="115" t="s">
        <v>95</v>
      </c>
      <c r="B2" s="116" t="s">
        <v>96</v>
      </c>
      <c r="C2" s="117" t="s">
        <v>97</v>
      </c>
      <c r="D2" s="118"/>
      <c r="E2" s="118"/>
      <c r="F2" s="118"/>
      <c r="G2" s="118"/>
      <c r="I2" s="118"/>
      <c r="J2" s="118"/>
      <c r="L2" s="119"/>
      <c r="M2" s="120" t="s">
        <v>98</v>
      </c>
      <c r="N2" s="120">
        <v>3.0</v>
      </c>
    </row>
    <row r="3">
      <c r="A3" s="117" t="s">
        <v>99</v>
      </c>
      <c r="C3" s="121"/>
      <c r="D3" s="118"/>
      <c r="E3" s="118"/>
      <c r="F3" s="118"/>
      <c r="G3" s="118"/>
      <c r="I3" s="118"/>
      <c r="J3" s="118"/>
      <c r="L3" s="119"/>
      <c r="M3" s="120" t="s">
        <v>100</v>
      </c>
      <c r="N3" s="120">
        <v>1.0</v>
      </c>
    </row>
    <row r="4">
      <c r="A4" s="120" t="s">
        <v>101</v>
      </c>
      <c r="B4" s="120" t="s">
        <v>102</v>
      </c>
      <c r="C4" s="121" t="s">
        <v>103</v>
      </c>
      <c r="F4" s="122" t="s">
        <v>104</v>
      </c>
      <c r="L4" s="119"/>
    </row>
    <row r="5">
      <c r="A5" s="120" t="s">
        <v>105</v>
      </c>
      <c r="B5" s="120" t="s">
        <v>106</v>
      </c>
      <c r="C5" s="121" t="s">
        <v>107</v>
      </c>
      <c r="F5" s="122" t="s">
        <v>108</v>
      </c>
      <c r="G5" s="123">
        <v>8.0</v>
      </c>
      <c r="L5" s="119"/>
    </row>
    <row r="6">
      <c r="F6" s="122" t="s">
        <v>109</v>
      </c>
      <c r="G6" s="120" t="s">
        <v>110</v>
      </c>
      <c r="L6" s="119"/>
    </row>
    <row r="7">
      <c r="A7" s="124" t="s">
        <v>111</v>
      </c>
      <c r="B7" s="124" t="s">
        <v>112</v>
      </c>
      <c r="C7" s="124" t="s">
        <v>113</v>
      </c>
      <c r="D7" s="124" t="s">
        <v>114</v>
      </c>
      <c r="E7" s="124" t="s">
        <v>115</v>
      </c>
      <c r="F7" s="124" t="s">
        <v>116</v>
      </c>
      <c r="G7" s="124" t="s">
        <v>117</v>
      </c>
      <c r="L7" s="119"/>
    </row>
    <row r="8">
      <c r="A8" s="125">
        <v>0.0</v>
      </c>
      <c r="B8" s="125" t="s">
        <v>118</v>
      </c>
      <c r="C8" s="126" t="s">
        <v>119</v>
      </c>
      <c r="D8" s="125">
        <v>0.0</v>
      </c>
      <c r="E8" s="125">
        <v>1.0</v>
      </c>
      <c r="F8" s="127" t="s">
        <v>120</v>
      </c>
      <c r="G8" s="128" t="s">
        <v>121</v>
      </c>
      <c r="H8" s="129"/>
      <c r="L8" s="119"/>
    </row>
    <row r="9">
      <c r="A9" s="19"/>
      <c r="B9" s="19"/>
      <c r="C9" s="19"/>
      <c r="D9" s="19"/>
      <c r="E9" s="19"/>
      <c r="F9" s="130" t="s">
        <v>122</v>
      </c>
      <c r="G9" s="131" t="s">
        <v>123</v>
      </c>
      <c r="H9" s="129"/>
      <c r="L9" s="119"/>
    </row>
    <row r="10" ht="21.0" customHeight="1">
      <c r="A10" s="132">
        <v>1.0</v>
      </c>
      <c r="B10" s="133" t="s">
        <v>124</v>
      </c>
      <c r="C10" s="134" t="s">
        <v>125</v>
      </c>
      <c r="D10" s="135" t="s">
        <v>51</v>
      </c>
      <c r="E10" s="135" t="s">
        <v>51</v>
      </c>
      <c r="F10" s="133" t="s">
        <v>51</v>
      </c>
      <c r="G10" s="133" t="s">
        <v>126</v>
      </c>
      <c r="H10" s="129"/>
    </row>
    <row r="11" ht="21.0" customHeight="1">
      <c r="A11" s="132">
        <v>2.0</v>
      </c>
      <c r="B11" s="19"/>
      <c r="C11" s="19"/>
      <c r="D11" s="19"/>
      <c r="E11" s="19"/>
      <c r="F11" s="19"/>
      <c r="G11" s="19"/>
      <c r="H11" s="129"/>
      <c r="I11" s="121"/>
    </row>
    <row r="12" ht="33.0" customHeight="1">
      <c r="A12" s="136">
        <v>3.0</v>
      </c>
      <c r="B12" s="132" t="s">
        <v>127</v>
      </c>
      <c r="C12" s="137" t="s">
        <v>128</v>
      </c>
      <c r="D12" s="138">
        <v>0.0</v>
      </c>
      <c r="E12" s="138">
        <v>0.1</v>
      </c>
      <c r="F12" s="138" t="s">
        <v>129</v>
      </c>
      <c r="G12" s="139" t="s">
        <v>130</v>
      </c>
    </row>
    <row r="13" ht="28.5" customHeight="1">
      <c r="A13" s="136">
        <v>4.0</v>
      </c>
      <c r="B13" s="132" t="s">
        <v>131</v>
      </c>
      <c r="C13" s="133" t="s">
        <v>132</v>
      </c>
      <c r="D13" s="138">
        <v>2.0</v>
      </c>
      <c r="E13" s="138">
        <v>0.0125</v>
      </c>
      <c r="F13" s="137" t="s">
        <v>133</v>
      </c>
      <c r="G13" s="124" t="s">
        <v>134</v>
      </c>
      <c r="H13" s="140" t="s">
        <v>135</v>
      </c>
    </row>
    <row r="14">
      <c r="A14" s="136">
        <v>5.0</v>
      </c>
      <c r="B14" s="132" t="s">
        <v>136</v>
      </c>
      <c r="C14" s="19"/>
      <c r="D14" s="138">
        <v>2.0</v>
      </c>
      <c r="E14" s="138">
        <v>0.0125</v>
      </c>
      <c r="F14" s="137" t="s">
        <v>133</v>
      </c>
      <c r="G14" s="124" t="s">
        <v>137</v>
      </c>
      <c r="H14" s="141" t="s">
        <v>138</v>
      </c>
    </row>
    <row r="15" ht="30.75" customHeight="1">
      <c r="A15" s="136">
        <v>6.0</v>
      </c>
      <c r="B15" s="136" t="s">
        <v>139</v>
      </c>
      <c r="C15" s="136"/>
      <c r="D15" s="132"/>
      <c r="E15" s="132"/>
      <c r="F15" s="142"/>
      <c r="G15" s="143"/>
      <c r="I15" s="121"/>
    </row>
    <row r="16" ht="30.75" customHeight="1">
      <c r="A16" s="136">
        <v>7.0</v>
      </c>
      <c r="B16" s="136" t="s">
        <v>139</v>
      </c>
      <c r="C16" s="136"/>
      <c r="D16" s="132"/>
      <c r="E16" s="132"/>
      <c r="F16" s="142"/>
      <c r="G16" s="143"/>
      <c r="I16" s="121"/>
    </row>
    <row r="17">
      <c r="C17" s="144"/>
    </row>
    <row r="18" ht="11.25" customHeight="1">
      <c r="B18" s="145"/>
    </row>
    <row r="19" ht="18.0" customHeight="1">
      <c r="A19" s="117" t="s">
        <v>140</v>
      </c>
      <c r="C19" s="121"/>
    </row>
    <row r="20" ht="14.25" customHeight="1">
      <c r="A20" s="120" t="s">
        <v>101</v>
      </c>
      <c r="B20" s="120" t="s">
        <v>141</v>
      </c>
      <c r="C20" s="121" t="s">
        <v>103</v>
      </c>
      <c r="F20" s="122" t="s">
        <v>104</v>
      </c>
      <c r="G20" s="120" t="s">
        <v>142</v>
      </c>
    </row>
    <row r="21" ht="14.25" customHeight="1">
      <c r="A21" s="120" t="s">
        <v>105</v>
      </c>
      <c r="B21" s="120" t="s">
        <v>106</v>
      </c>
      <c r="C21" s="121" t="s">
        <v>143</v>
      </c>
      <c r="F21" s="122" t="s">
        <v>108</v>
      </c>
      <c r="G21" s="123">
        <v>8.0</v>
      </c>
    </row>
    <row r="22" ht="14.25" customHeight="1">
      <c r="A22" s="120" t="s">
        <v>144</v>
      </c>
      <c r="F22" s="122" t="s">
        <v>109</v>
      </c>
      <c r="G22" s="120" t="s">
        <v>145</v>
      </c>
    </row>
    <row r="23" ht="14.25" customHeight="1">
      <c r="A23" s="124" t="s">
        <v>111</v>
      </c>
      <c r="B23" s="124" t="s">
        <v>112</v>
      </c>
      <c r="C23" s="124" t="s">
        <v>113</v>
      </c>
      <c r="D23" s="124" t="s">
        <v>114</v>
      </c>
      <c r="E23" s="124" t="s">
        <v>115</v>
      </c>
      <c r="F23" s="124" t="s">
        <v>116</v>
      </c>
      <c r="G23" s="124" t="s">
        <v>117</v>
      </c>
    </row>
    <row r="24" ht="15.75" customHeight="1">
      <c r="A24" s="146">
        <v>0.0</v>
      </c>
      <c r="B24" s="124" t="s">
        <v>146</v>
      </c>
      <c r="C24" s="133" t="s">
        <v>147</v>
      </c>
      <c r="D24" s="135">
        <v>0.0</v>
      </c>
      <c r="E24" s="135">
        <v>0.02</v>
      </c>
      <c r="F24" s="133" t="s">
        <v>133</v>
      </c>
      <c r="G24" s="135" t="s">
        <v>148</v>
      </c>
      <c r="H24" s="147" t="s">
        <v>149</v>
      </c>
      <c r="I24" s="120" t="s">
        <v>150</v>
      </c>
    </row>
    <row r="25" ht="16.5" customHeight="1">
      <c r="A25" s="146">
        <v>1.0</v>
      </c>
      <c r="B25" s="124" t="s">
        <v>151</v>
      </c>
      <c r="C25" s="148"/>
      <c r="D25" s="148"/>
      <c r="E25" s="148"/>
      <c r="F25" s="148"/>
      <c r="G25" s="148"/>
      <c r="H25" s="149"/>
    </row>
    <row r="26" ht="15.75" customHeight="1">
      <c r="A26" s="146">
        <v>2.0</v>
      </c>
      <c r="B26" s="124" t="s">
        <v>152</v>
      </c>
      <c r="C26" s="148"/>
      <c r="D26" s="148"/>
      <c r="E26" s="148"/>
      <c r="F26" s="148"/>
      <c r="G26" s="148"/>
      <c r="H26" s="149"/>
    </row>
    <row r="27" ht="15.75" customHeight="1">
      <c r="A27" s="146">
        <v>3.0</v>
      </c>
      <c r="B27" s="124" t="s">
        <v>153</v>
      </c>
      <c r="C27" s="148"/>
      <c r="D27" s="148"/>
      <c r="E27" s="148"/>
      <c r="F27" s="148"/>
      <c r="G27" s="148"/>
      <c r="H27" s="149"/>
    </row>
    <row r="28" ht="15.75" customHeight="1">
      <c r="A28" s="146">
        <v>4.0</v>
      </c>
      <c r="B28" s="124" t="s">
        <v>154</v>
      </c>
      <c r="C28" s="148"/>
      <c r="D28" s="148"/>
      <c r="E28" s="148"/>
      <c r="F28" s="148"/>
      <c r="G28" s="148"/>
      <c r="H28" s="149"/>
    </row>
    <row r="29" ht="15.75" customHeight="1">
      <c r="A29" s="146">
        <v>5.0</v>
      </c>
      <c r="B29" s="124" t="s">
        <v>155</v>
      </c>
      <c r="C29" s="148"/>
      <c r="D29" s="148"/>
      <c r="E29" s="148"/>
      <c r="F29" s="148"/>
      <c r="G29" s="148"/>
      <c r="H29" s="149"/>
    </row>
    <row r="30" ht="14.25" customHeight="1">
      <c r="A30" s="146">
        <v>6.0</v>
      </c>
      <c r="B30" s="124" t="s">
        <v>156</v>
      </c>
      <c r="C30" s="148"/>
      <c r="D30" s="148"/>
      <c r="E30" s="148"/>
      <c r="F30" s="148"/>
      <c r="G30" s="148"/>
      <c r="H30" s="149"/>
    </row>
    <row r="31" ht="14.25" customHeight="1">
      <c r="A31" s="146">
        <v>7.0</v>
      </c>
      <c r="B31" s="124" t="s">
        <v>157</v>
      </c>
      <c r="C31" s="19"/>
      <c r="D31" s="19"/>
      <c r="E31" s="19"/>
      <c r="F31" s="19"/>
      <c r="G31" s="19"/>
      <c r="H31" s="149"/>
    </row>
    <row r="32" ht="16.5" customHeight="1">
      <c r="A32" s="123"/>
      <c r="C32" s="150"/>
      <c r="D32" s="151"/>
      <c r="E32" s="151"/>
      <c r="F32" s="150"/>
      <c r="G32" s="151"/>
      <c r="H32" s="151"/>
    </row>
    <row r="33" ht="19.5" customHeight="1">
      <c r="A33" s="117" t="s">
        <v>158</v>
      </c>
      <c r="C33" s="150"/>
      <c r="D33" s="151"/>
      <c r="E33" s="151"/>
      <c r="F33" s="150"/>
      <c r="G33" s="151"/>
      <c r="H33" s="151"/>
    </row>
    <row r="34" ht="14.25" customHeight="1">
      <c r="A34" s="120" t="s">
        <v>101</v>
      </c>
      <c r="B34" s="120" t="s">
        <v>159</v>
      </c>
      <c r="C34" s="121" t="s">
        <v>103</v>
      </c>
      <c r="F34" s="122" t="s">
        <v>104</v>
      </c>
      <c r="G34" s="120" t="s">
        <v>142</v>
      </c>
      <c r="H34" s="151"/>
    </row>
    <row r="35" ht="14.25" customHeight="1">
      <c r="A35" s="120" t="s">
        <v>105</v>
      </c>
      <c r="B35" s="120" t="s">
        <v>106</v>
      </c>
      <c r="C35" s="121" t="s">
        <v>160</v>
      </c>
      <c r="F35" s="122" t="s">
        <v>108</v>
      </c>
      <c r="G35" s="123">
        <v>8.0</v>
      </c>
      <c r="H35" s="151"/>
    </row>
    <row r="36" ht="14.25" customHeight="1">
      <c r="A36" s="120" t="s">
        <v>144</v>
      </c>
      <c r="B36" s="120" t="s">
        <v>161</v>
      </c>
      <c r="F36" s="122" t="s">
        <v>109</v>
      </c>
      <c r="G36" s="120" t="s">
        <v>162</v>
      </c>
    </row>
    <row r="37" ht="14.25" customHeight="1">
      <c r="A37" s="124" t="s">
        <v>111</v>
      </c>
      <c r="B37" s="124" t="s">
        <v>112</v>
      </c>
      <c r="C37" s="124" t="s">
        <v>113</v>
      </c>
      <c r="D37" s="124" t="s">
        <v>114</v>
      </c>
      <c r="E37" s="124" t="s">
        <v>115</v>
      </c>
      <c r="F37" s="124" t="s">
        <v>116</v>
      </c>
      <c r="G37" s="124" t="s">
        <v>117</v>
      </c>
    </row>
    <row r="38" ht="30.75" customHeight="1">
      <c r="A38" s="146">
        <v>0.0</v>
      </c>
      <c r="B38" s="124" t="s">
        <v>163</v>
      </c>
      <c r="C38" s="133" t="s">
        <v>164</v>
      </c>
      <c r="D38" s="135">
        <v>0.0</v>
      </c>
      <c r="E38" s="135">
        <v>0.02</v>
      </c>
      <c r="F38" s="133" t="s">
        <v>165</v>
      </c>
      <c r="G38" s="135" t="s">
        <v>148</v>
      </c>
    </row>
    <row r="39" ht="33.0" customHeight="1">
      <c r="A39" s="146">
        <v>1.0</v>
      </c>
      <c r="B39" s="124" t="s">
        <v>166</v>
      </c>
      <c r="C39" s="148"/>
      <c r="D39" s="148"/>
      <c r="E39" s="148"/>
      <c r="F39" s="148"/>
      <c r="G39" s="148"/>
    </row>
    <row r="40" ht="15.0" customHeight="1">
      <c r="A40" s="146">
        <v>2.0</v>
      </c>
      <c r="B40" s="124" t="s">
        <v>139</v>
      </c>
      <c r="C40" s="139" t="s">
        <v>51</v>
      </c>
      <c r="D40" s="152" t="s">
        <v>51</v>
      </c>
      <c r="E40" s="152" t="s">
        <v>51</v>
      </c>
      <c r="F40" s="139" t="s">
        <v>51</v>
      </c>
      <c r="G40" s="135" t="s">
        <v>167</v>
      </c>
      <c r="H40" s="140"/>
    </row>
    <row r="41" ht="15.75" customHeight="1">
      <c r="A41" s="146">
        <v>3.0</v>
      </c>
      <c r="B41" s="124" t="s">
        <v>139</v>
      </c>
      <c r="C41" s="139" t="s">
        <v>51</v>
      </c>
      <c r="D41" s="152" t="s">
        <v>51</v>
      </c>
      <c r="E41" s="152" t="s">
        <v>51</v>
      </c>
      <c r="F41" s="139" t="s">
        <v>51</v>
      </c>
      <c r="G41" s="148"/>
      <c r="H41" s="141"/>
    </row>
    <row r="42" ht="13.5" customHeight="1">
      <c r="A42" s="146">
        <v>4.0</v>
      </c>
      <c r="B42" s="124" t="s">
        <v>139</v>
      </c>
      <c r="C42" s="139" t="s">
        <v>51</v>
      </c>
      <c r="D42" s="152" t="s">
        <v>51</v>
      </c>
      <c r="E42" s="152" t="s">
        <v>51</v>
      </c>
      <c r="F42" s="139" t="s">
        <v>51</v>
      </c>
      <c r="G42" s="148"/>
    </row>
    <row r="43" ht="14.25" customHeight="1">
      <c r="A43" s="146">
        <v>5.0</v>
      </c>
      <c r="B43" s="124" t="s">
        <v>139</v>
      </c>
      <c r="C43" s="139" t="s">
        <v>51</v>
      </c>
      <c r="D43" s="152" t="s">
        <v>51</v>
      </c>
      <c r="E43" s="152" t="s">
        <v>51</v>
      </c>
      <c r="F43" s="139" t="s">
        <v>51</v>
      </c>
      <c r="G43" s="148"/>
    </row>
    <row r="44" ht="14.25" customHeight="1">
      <c r="A44" s="146">
        <v>6.0</v>
      </c>
      <c r="B44" s="124" t="s">
        <v>139</v>
      </c>
      <c r="C44" s="139" t="s">
        <v>51</v>
      </c>
      <c r="D44" s="152" t="s">
        <v>51</v>
      </c>
      <c r="E44" s="152" t="s">
        <v>51</v>
      </c>
      <c r="F44" s="139" t="s">
        <v>51</v>
      </c>
      <c r="G44" s="148"/>
    </row>
    <row r="45" ht="14.25" customHeight="1">
      <c r="A45" s="146">
        <v>7.0</v>
      </c>
      <c r="B45" s="124" t="s">
        <v>139</v>
      </c>
      <c r="C45" s="139" t="s">
        <v>51</v>
      </c>
      <c r="D45" s="152" t="s">
        <v>51</v>
      </c>
      <c r="E45" s="152" t="s">
        <v>51</v>
      </c>
      <c r="F45" s="139" t="s">
        <v>51</v>
      </c>
      <c r="G45" s="19"/>
    </row>
    <row r="46" ht="15.75" customHeight="1"/>
    <row r="47" ht="15.75" customHeight="1"/>
    <row r="48" ht="15.75" customHeight="1">
      <c r="A48" s="117" t="s">
        <v>168</v>
      </c>
      <c r="C48" s="121"/>
    </row>
    <row r="49" ht="15.75" customHeight="1">
      <c r="A49" s="120" t="s">
        <v>101</v>
      </c>
      <c r="B49" s="120" t="s">
        <v>169</v>
      </c>
      <c r="C49" s="121" t="s">
        <v>170</v>
      </c>
      <c r="F49" s="122" t="s">
        <v>104</v>
      </c>
      <c r="G49" s="120" t="s">
        <v>171</v>
      </c>
    </row>
    <row r="50" ht="15.75" customHeight="1">
      <c r="A50" s="120" t="s">
        <v>105</v>
      </c>
      <c r="B50" s="120" t="s">
        <v>106</v>
      </c>
      <c r="C50" s="121" t="s">
        <v>107</v>
      </c>
      <c r="F50" s="122" t="s">
        <v>108</v>
      </c>
      <c r="G50" s="123">
        <v>8.0</v>
      </c>
      <c r="H50" s="120" t="s">
        <v>172</v>
      </c>
    </row>
    <row r="51" ht="15.75" customHeight="1">
      <c r="A51" s="120" t="s">
        <v>144</v>
      </c>
      <c r="B51" s="120" t="s">
        <v>161</v>
      </c>
      <c r="F51" s="122" t="s">
        <v>109</v>
      </c>
      <c r="G51" s="120" t="s">
        <v>173</v>
      </c>
      <c r="H51" s="120" t="s">
        <v>174</v>
      </c>
    </row>
    <row r="52" ht="168.0" customHeight="1">
      <c r="A52" s="132"/>
      <c r="B52" s="132" t="s">
        <v>175</v>
      </c>
      <c r="C52" s="153" t="s">
        <v>176</v>
      </c>
      <c r="D52" s="132"/>
      <c r="E52" s="132"/>
      <c r="F52" s="154"/>
      <c r="G52" s="139" t="s">
        <v>177</v>
      </c>
      <c r="H52" s="150" t="s">
        <v>178</v>
      </c>
    </row>
    <row r="53" ht="15.75" customHeight="1">
      <c r="A53" s="124" t="s">
        <v>111</v>
      </c>
      <c r="B53" s="124" t="s">
        <v>112</v>
      </c>
      <c r="C53" s="124" t="s">
        <v>113</v>
      </c>
      <c r="D53" s="124" t="s">
        <v>114</v>
      </c>
      <c r="E53" s="124" t="s">
        <v>115</v>
      </c>
      <c r="F53" s="124" t="s">
        <v>116</v>
      </c>
      <c r="G53" s="124" t="s">
        <v>117</v>
      </c>
      <c r="H53" s="150"/>
    </row>
    <row r="54" ht="14.25" customHeight="1">
      <c r="A54" s="132">
        <v>0.0</v>
      </c>
      <c r="B54" s="135" t="s">
        <v>179</v>
      </c>
      <c r="C54" s="133" t="s">
        <v>180</v>
      </c>
      <c r="D54" s="135" t="s">
        <v>51</v>
      </c>
      <c r="E54" s="135" t="s">
        <v>51</v>
      </c>
      <c r="F54" s="155" t="s">
        <v>51</v>
      </c>
      <c r="G54" s="133" t="s">
        <v>181</v>
      </c>
      <c r="H54" s="156"/>
    </row>
    <row r="55" ht="15.75" customHeight="1">
      <c r="A55" s="135">
        <v>1.0</v>
      </c>
      <c r="B55" s="148"/>
      <c r="C55" s="148"/>
      <c r="D55" s="148"/>
      <c r="E55" s="148"/>
      <c r="F55" s="148"/>
      <c r="G55" s="148"/>
      <c r="H55" s="149"/>
    </row>
    <row r="56" ht="15.75" customHeight="1">
      <c r="A56" s="132">
        <v>2.0</v>
      </c>
      <c r="B56" s="135" t="s">
        <v>182</v>
      </c>
      <c r="C56" s="148"/>
      <c r="D56" s="135" t="s">
        <v>51</v>
      </c>
      <c r="E56" s="135" t="s">
        <v>51</v>
      </c>
      <c r="F56" s="155" t="s">
        <v>51</v>
      </c>
      <c r="G56" s="148"/>
    </row>
    <row r="57" ht="15.75" customHeight="1">
      <c r="A57" s="132">
        <v>3.0</v>
      </c>
      <c r="B57" s="148"/>
      <c r="C57" s="148"/>
      <c r="D57" s="148"/>
      <c r="E57" s="148"/>
      <c r="F57" s="148"/>
      <c r="G57" s="148"/>
    </row>
    <row r="58" ht="14.25" customHeight="1">
      <c r="A58" s="132">
        <v>4.0</v>
      </c>
      <c r="B58" s="135" t="s">
        <v>183</v>
      </c>
      <c r="C58" s="148"/>
      <c r="D58" s="135" t="s">
        <v>51</v>
      </c>
      <c r="E58" s="135" t="s">
        <v>51</v>
      </c>
      <c r="F58" s="155" t="s">
        <v>51</v>
      </c>
      <c r="G58" s="148"/>
    </row>
    <row r="59" ht="15.75" customHeight="1">
      <c r="A59" s="132">
        <v>5.0</v>
      </c>
      <c r="B59" s="148"/>
      <c r="C59" s="148"/>
      <c r="D59" s="148"/>
      <c r="E59" s="148"/>
      <c r="F59" s="148"/>
      <c r="G59" s="148"/>
    </row>
    <row r="60" ht="14.25" customHeight="1">
      <c r="A60" s="132">
        <v>6.0</v>
      </c>
      <c r="B60" s="135" t="s">
        <v>184</v>
      </c>
      <c r="C60" s="148"/>
      <c r="D60" s="135" t="s">
        <v>51</v>
      </c>
      <c r="E60" s="135" t="s">
        <v>51</v>
      </c>
      <c r="F60" s="155" t="s">
        <v>51</v>
      </c>
      <c r="G60" s="148"/>
    </row>
    <row r="61" ht="14.25" customHeight="1">
      <c r="A61" s="157">
        <v>7.0</v>
      </c>
      <c r="B61" s="19"/>
      <c r="C61" s="19"/>
      <c r="D61" s="19"/>
      <c r="E61" s="19"/>
      <c r="F61" s="19"/>
      <c r="G61" s="19"/>
    </row>
    <row r="62" ht="14.25" customHeight="1">
      <c r="A62" s="151"/>
      <c r="B62" s="151"/>
      <c r="C62" s="150"/>
      <c r="D62" s="151"/>
      <c r="E62" s="151"/>
      <c r="F62" s="121"/>
      <c r="G62" s="150"/>
    </row>
    <row r="63" ht="14.25" customHeight="1">
      <c r="A63" s="117" t="s">
        <v>185</v>
      </c>
      <c r="B63" s="151"/>
      <c r="C63" s="150"/>
      <c r="D63" s="151"/>
      <c r="E63" s="151"/>
      <c r="F63" s="121"/>
      <c r="G63" s="150"/>
    </row>
    <row r="64" ht="14.25" customHeight="1">
      <c r="A64" s="120" t="s">
        <v>101</v>
      </c>
      <c r="B64" s="120" t="s">
        <v>186</v>
      </c>
      <c r="C64" s="121" t="s">
        <v>170</v>
      </c>
      <c r="F64" s="122" t="s">
        <v>104</v>
      </c>
      <c r="G64" s="120" t="s">
        <v>171</v>
      </c>
    </row>
    <row r="65" ht="14.25" customHeight="1">
      <c r="A65" s="120" t="s">
        <v>105</v>
      </c>
      <c r="B65" s="120" t="s">
        <v>106</v>
      </c>
      <c r="C65" s="121" t="s">
        <v>143</v>
      </c>
      <c r="F65" s="122" t="s">
        <v>108</v>
      </c>
      <c r="G65" s="123">
        <v>8.0</v>
      </c>
    </row>
    <row r="66" ht="14.25" customHeight="1">
      <c r="A66" s="120" t="s">
        <v>144</v>
      </c>
      <c r="B66" s="120" t="s">
        <v>161</v>
      </c>
      <c r="F66" s="122" t="s">
        <v>109</v>
      </c>
      <c r="G66" s="120" t="s">
        <v>187</v>
      </c>
    </row>
    <row r="67" ht="14.25" customHeight="1">
      <c r="A67" s="124" t="s">
        <v>111</v>
      </c>
      <c r="B67" s="124" t="s">
        <v>112</v>
      </c>
      <c r="C67" s="124" t="s">
        <v>113</v>
      </c>
      <c r="D67" s="124" t="s">
        <v>114</v>
      </c>
      <c r="E67" s="124" t="s">
        <v>115</v>
      </c>
      <c r="F67" s="124" t="s">
        <v>116</v>
      </c>
      <c r="G67" s="124" t="s">
        <v>117</v>
      </c>
    </row>
    <row r="68" ht="14.25" customHeight="1">
      <c r="A68" s="132">
        <v>0.0</v>
      </c>
      <c r="B68" s="135" t="s">
        <v>188</v>
      </c>
      <c r="C68" s="133" t="s">
        <v>180</v>
      </c>
      <c r="D68" s="135" t="s">
        <v>51</v>
      </c>
      <c r="E68" s="135" t="s">
        <v>51</v>
      </c>
      <c r="F68" s="155" t="s">
        <v>51</v>
      </c>
      <c r="G68" s="133" t="s">
        <v>189</v>
      </c>
    </row>
    <row r="69" ht="15.75" customHeight="1">
      <c r="A69" s="135">
        <v>1.0</v>
      </c>
      <c r="B69" s="148"/>
      <c r="C69" s="148"/>
      <c r="D69" s="148"/>
      <c r="E69" s="148"/>
      <c r="F69" s="148"/>
      <c r="G69" s="148"/>
    </row>
    <row r="70" ht="14.25" customHeight="1">
      <c r="A70" s="132">
        <v>2.0</v>
      </c>
      <c r="B70" s="135" t="s">
        <v>190</v>
      </c>
      <c r="C70" s="148"/>
      <c r="D70" s="135" t="s">
        <v>51</v>
      </c>
      <c r="E70" s="135" t="s">
        <v>51</v>
      </c>
      <c r="F70" s="155" t="s">
        <v>51</v>
      </c>
      <c r="G70" s="148"/>
    </row>
    <row r="71" ht="15.75" customHeight="1">
      <c r="A71" s="132">
        <v>3.0</v>
      </c>
      <c r="B71" s="19"/>
      <c r="C71" s="148"/>
      <c r="D71" s="148"/>
      <c r="E71" s="148"/>
      <c r="F71" s="148"/>
      <c r="G71" s="148"/>
    </row>
    <row r="72" ht="15.75" customHeight="1">
      <c r="A72" s="132">
        <v>4.0</v>
      </c>
      <c r="B72" s="135" t="s">
        <v>191</v>
      </c>
      <c r="C72" s="148"/>
      <c r="D72" s="135" t="s">
        <v>51</v>
      </c>
      <c r="E72" s="135" t="s">
        <v>51</v>
      </c>
      <c r="F72" s="155" t="s">
        <v>51</v>
      </c>
      <c r="G72" s="158" t="s">
        <v>192</v>
      </c>
    </row>
    <row r="73" ht="15.75" customHeight="1">
      <c r="A73" s="132">
        <v>5.0</v>
      </c>
      <c r="B73" s="148"/>
      <c r="C73" s="148"/>
      <c r="D73" s="148"/>
      <c r="E73" s="148"/>
      <c r="F73" s="148"/>
      <c r="G73" s="148"/>
    </row>
    <row r="74" ht="15.75" customHeight="1">
      <c r="A74" s="132">
        <v>6.0</v>
      </c>
      <c r="B74" s="135" t="s">
        <v>193</v>
      </c>
      <c r="C74" s="148"/>
      <c r="D74" s="135" t="s">
        <v>51</v>
      </c>
      <c r="E74" s="135" t="s">
        <v>51</v>
      </c>
      <c r="F74" s="155" t="s">
        <v>51</v>
      </c>
      <c r="G74" s="148"/>
    </row>
    <row r="75" ht="15.75" customHeight="1">
      <c r="A75" s="157">
        <v>7.0</v>
      </c>
      <c r="B75" s="19"/>
      <c r="C75" s="19"/>
      <c r="D75" s="19"/>
      <c r="E75" s="19"/>
      <c r="F75" s="19"/>
      <c r="G75" s="19"/>
    </row>
    <row r="76" ht="15.75" customHeight="1">
      <c r="A76" s="151"/>
      <c r="B76" s="151"/>
      <c r="C76" s="150"/>
      <c r="D76" s="151"/>
      <c r="E76" s="151"/>
      <c r="F76" s="121"/>
      <c r="G76" s="150"/>
    </row>
    <row r="77" ht="15.75" customHeight="1">
      <c r="A77" s="151"/>
      <c r="B77" s="151"/>
      <c r="C77" s="150"/>
      <c r="D77" s="151"/>
      <c r="E77" s="151"/>
      <c r="F77" s="121"/>
      <c r="G77" s="150"/>
    </row>
    <row r="78" ht="15.75" customHeight="1">
      <c r="A78" s="112"/>
      <c r="B78" s="159"/>
      <c r="C78" s="159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ht="15.75" customHeight="1">
      <c r="A79" s="160" t="s">
        <v>194</v>
      </c>
      <c r="B79" s="117" t="s">
        <v>96</v>
      </c>
      <c r="C79" s="117" t="s">
        <v>97</v>
      </c>
      <c r="D79" s="120" t="s">
        <v>195</v>
      </c>
    </row>
    <row r="80" ht="15.75" customHeight="1">
      <c r="A80" s="120" t="s">
        <v>101</v>
      </c>
      <c r="B80" s="120" t="s">
        <v>196</v>
      </c>
      <c r="C80" s="121"/>
      <c r="F80" s="122" t="s">
        <v>104</v>
      </c>
      <c r="G80" s="120" t="s">
        <v>197</v>
      </c>
    </row>
    <row r="81" ht="15.75" customHeight="1">
      <c r="A81" s="120" t="s">
        <v>105</v>
      </c>
      <c r="B81" s="120" t="s">
        <v>198</v>
      </c>
      <c r="F81" s="122" t="s">
        <v>108</v>
      </c>
      <c r="G81" s="123">
        <v>8.0</v>
      </c>
    </row>
    <row r="82" ht="15.75" customHeight="1">
      <c r="A82" s="120" t="s">
        <v>144</v>
      </c>
      <c r="B82" s="120" t="s">
        <v>199</v>
      </c>
      <c r="F82" s="122" t="s">
        <v>109</v>
      </c>
      <c r="G82" s="120" t="s">
        <v>200</v>
      </c>
    </row>
    <row r="83" ht="15.75" customHeight="1">
      <c r="A83" s="124" t="s">
        <v>111</v>
      </c>
      <c r="B83" s="161" t="s">
        <v>112</v>
      </c>
      <c r="C83" s="161" t="s">
        <v>113</v>
      </c>
      <c r="D83" s="161" t="s">
        <v>114</v>
      </c>
      <c r="E83" s="161" t="s">
        <v>115</v>
      </c>
      <c r="F83" s="124" t="s">
        <v>116</v>
      </c>
      <c r="G83" s="161" t="s">
        <v>117</v>
      </c>
    </row>
    <row r="84" ht="15.75" customHeight="1">
      <c r="A84" s="162">
        <v>0.0</v>
      </c>
      <c r="B84" s="124" t="s">
        <v>201</v>
      </c>
      <c r="C84" s="142" t="s">
        <v>202</v>
      </c>
      <c r="D84" s="124">
        <v>0.0</v>
      </c>
      <c r="E84" s="124">
        <v>1.0</v>
      </c>
      <c r="F84" s="163" t="s">
        <v>203</v>
      </c>
      <c r="G84" s="164" t="s">
        <v>204</v>
      </c>
    </row>
    <row r="85" ht="15.75" customHeight="1">
      <c r="A85" s="165">
        <v>1.0</v>
      </c>
      <c r="B85" s="166" t="s">
        <v>205</v>
      </c>
      <c r="C85" s="167" t="s">
        <v>206</v>
      </c>
      <c r="D85" s="166">
        <v>0.0</v>
      </c>
      <c r="E85" s="166">
        <v>1.0</v>
      </c>
      <c r="F85" s="168" t="s">
        <v>207</v>
      </c>
      <c r="G85" s="169" t="s">
        <v>208</v>
      </c>
    </row>
    <row r="86" ht="15.75" customHeight="1">
      <c r="A86" s="135">
        <v>2.0</v>
      </c>
      <c r="B86" s="124" t="s">
        <v>209</v>
      </c>
      <c r="C86" s="170" t="s">
        <v>210</v>
      </c>
      <c r="D86" s="124">
        <v>0.0</v>
      </c>
      <c r="E86" s="124">
        <v>0.1</v>
      </c>
      <c r="F86" s="137" t="s">
        <v>211</v>
      </c>
      <c r="G86" s="171" t="s">
        <v>212</v>
      </c>
      <c r="H86" s="133" t="s">
        <v>213</v>
      </c>
    </row>
    <row r="87" ht="15.75" customHeight="1">
      <c r="A87" s="162">
        <v>3.0</v>
      </c>
      <c r="B87" s="124" t="s">
        <v>214</v>
      </c>
      <c r="C87" s="170" t="s">
        <v>215</v>
      </c>
      <c r="D87" s="124">
        <v>0.0</v>
      </c>
      <c r="E87" s="124">
        <v>0.1</v>
      </c>
      <c r="F87" s="143" t="s">
        <v>216</v>
      </c>
      <c r="G87" s="19"/>
      <c r="H87" s="148"/>
    </row>
    <row r="88" ht="15.75" customHeight="1">
      <c r="A88" s="162">
        <v>4.0</v>
      </c>
      <c r="B88" s="161" t="s">
        <v>217</v>
      </c>
      <c r="C88" s="161" t="s">
        <v>218</v>
      </c>
      <c r="D88" s="161">
        <v>0.0</v>
      </c>
      <c r="E88" s="161">
        <v>1.0</v>
      </c>
      <c r="F88" s="133" t="s">
        <v>219</v>
      </c>
      <c r="G88" s="172" t="s">
        <v>220</v>
      </c>
      <c r="H88" s="148"/>
    </row>
    <row r="89" ht="15.75" customHeight="1">
      <c r="A89" s="162">
        <v>5.0</v>
      </c>
      <c r="B89" s="124" t="s">
        <v>221</v>
      </c>
      <c r="C89" s="164" t="s">
        <v>222</v>
      </c>
      <c r="D89" s="124">
        <v>0.0</v>
      </c>
      <c r="E89" s="124">
        <v>0.1</v>
      </c>
      <c r="F89" s="143" t="s">
        <v>223</v>
      </c>
      <c r="G89" s="153"/>
      <c r="H89" s="148"/>
    </row>
    <row r="90" ht="15.75" customHeight="1">
      <c r="A90" s="173">
        <v>6.0</v>
      </c>
      <c r="B90" s="174" t="s">
        <v>224</v>
      </c>
      <c r="C90" s="134" t="s">
        <v>225</v>
      </c>
      <c r="D90" s="155">
        <v>0.0</v>
      </c>
      <c r="E90" s="155">
        <v>1.0</v>
      </c>
      <c r="F90" s="134" t="s">
        <v>226</v>
      </c>
      <c r="G90" s="175" t="s">
        <v>227</v>
      </c>
      <c r="H90" s="148"/>
    </row>
    <row r="91" ht="21.75" customHeight="1">
      <c r="A91" s="162">
        <v>7.0</v>
      </c>
      <c r="B91" s="124" t="s">
        <v>139</v>
      </c>
      <c r="C91" s="137" t="s">
        <v>51</v>
      </c>
      <c r="D91" s="137" t="s">
        <v>51</v>
      </c>
      <c r="E91" s="137" t="s">
        <v>51</v>
      </c>
      <c r="F91" s="137" t="s">
        <v>51</v>
      </c>
      <c r="G91" s="143"/>
      <c r="H91" s="19"/>
    </row>
    <row r="92" ht="15.75" customHeight="1">
      <c r="A92" s="123"/>
      <c r="H92" s="144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5">
    <mergeCell ref="E10:E11"/>
    <mergeCell ref="F10:F11"/>
    <mergeCell ref="A1:J1"/>
    <mergeCell ref="A8:A9"/>
    <mergeCell ref="B8:B9"/>
    <mergeCell ref="C8:C9"/>
    <mergeCell ref="D8:D9"/>
    <mergeCell ref="E8:E9"/>
    <mergeCell ref="B10:B11"/>
    <mergeCell ref="G10:G11"/>
    <mergeCell ref="G24:G31"/>
    <mergeCell ref="H24:H31"/>
    <mergeCell ref="G40:G45"/>
    <mergeCell ref="C10:C11"/>
    <mergeCell ref="D10:D11"/>
    <mergeCell ref="C13:C14"/>
    <mergeCell ref="C24:C31"/>
    <mergeCell ref="D24:D31"/>
    <mergeCell ref="E24:E31"/>
    <mergeCell ref="F24:F31"/>
    <mergeCell ref="D54:D55"/>
    <mergeCell ref="E54:E55"/>
    <mergeCell ref="H54:H55"/>
    <mergeCell ref="B56:B57"/>
    <mergeCell ref="D56:D57"/>
    <mergeCell ref="B54:B55"/>
    <mergeCell ref="B58:B59"/>
    <mergeCell ref="B60:B61"/>
    <mergeCell ref="D68:D69"/>
    <mergeCell ref="D72:D73"/>
    <mergeCell ref="E74:E75"/>
    <mergeCell ref="F74:F75"/>
    <mergeCell ref="G86:G87"/>
    <mergeCell ref="H86:H91"/>
    <mergeCell ref="D60:D61"/>
    <mergeCell ref="E60:E61"/>
    <mergeCell ref="E68:E69"/>
    <mergeCell ref="F68:F69"/>
    <mergeCell ref="G68:G71"/>
    <mergeCell ref="F70:F71"/>
    <mergeCell ref="G72:G75"/>
    <mergeCell ref="F54:F55"/>
    <mergeCell ref="G54:G61"/>
    <mergeCell ref="F56:F57"/>
    <mergeCell ref="F58:F59"/>
    <mergeCell ref="F60:F61"/>
    <mergeCell ref="D58:D59"/>
    <mergeCell ref="E58:E59"/>
    <mergeCell ref="C38:C39"/>
    <mergeCell ref="D38:D39"/>
    <mergeCell ref="E38:E39"/>
    <mergeCell ref="F38:F39"/>
    <mergeCell ref="G38:G39"/>
    <mergeCell ref="C54:C61"/>
    <mergeCell ref="E56:E57"/>
    <mergeCell ref="B68:B69"/>
    <mergeCell ref="B70:B71"/>
    <mergeCell ref="B72:B73"/>
    <mergeCell ref="B74:B75"/>
    <mergeCell ref="D70:D71"/>
    <mergeCell ref="E70:E71"/>
    <mergeCell ref="E72:E73"/>
    <mergeCell ref="F72:F73"/>
    <mergeCell ref="C68:C75"/>
    <mergeCell ref="D74:D75"/>
  </mergeCells>
  <hyperlinks>
    <hyperlink r:id="rId1" ref="H14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0.63"/>
    <col customWidth="1" min="3" max="3" width="15.88"/>
    <col customWidth="1" min="4" max="4" width="9.38"/>
    <col customWidth="1" min="5" max="5" width="29.75"/>
    <col customWidth="1" min="6" max="6" width="29.38"/>
    <col customWidth="1" min="7" max="7" width="17.38"/>
    <col customWidth="1" min="8" max="9" width="8.63"/>
    <col customWidth="1" min="10" max="10" width="41.88"/>
    <col customWidth="1" min="11" max="11" width="8.63"/>
    <col customWidth="1" min="12" max="12" width="44.38"/>
    <col customWidth="1" min="13" max="14" width="8.63"/>
    <col customWidth="1" min="15" max="15" width="13.75"/>
    <col customWidth="1" min="16" max="26" width="8.63"/>
  </cols>
  <sheetData>
    <row r="1">
      <c r="A1" s="176" t="s">
        <v>228</v>
      </c>
      <c r="B1" s="177"/>
      <c r="C1" s="177"/>
      <c r="D1" s="177"/>
      <c r="E1" s="177"/>
      <c r="F1" s="177"/>
      <c r="G1" s="177"/>
      <c r="H1" s="177"/>
      <c r="I1" s="177"/>
      <c r="J1" s="178"/>
    </row>
    <row r="2" ht="15.0" customHeight="1">
      <c r="A2" s="179"/>
      <c r="J2" s="180"/>
    </row>
    <row r="3">
      <c r="A3" s="181" t="s">
        <v>229</v>
      </c>
      <c r="B3" s="173" t="s">
        <v>230</v>
      </c>
      <c r="C3" s="182"/>
      <c r="D3" s="182"/>
      <c r="E3" s="183" t="s">
        <v>231</v>
      </c>
      <c r="F3" s="183"/>
      <c r="G3" s="183"/>
      <c r="H3" s="183"/>
      <c r="I3" s="184"/>
      <c r="J3" s="180"/>
    </row>
    <row r="4">
      <c r="A4" s="179"/>
      <c r="B4" s="147"/>
      <c r="C4" s="120" t="s">
        <v>232</v>
      </c>
      <c r="D4" s="120" t="s">
        <v>233</v>
      </c>
      <c r="E4" s="120">
        <v>0.0</v>
      </c>
      <c r="F4" s="185" t="s">
        <v>234</v>
      </c>
      <c r="G4" s="185" t="s">
        <v>235</v>
      </c>
      <c r="I4" s="186"/>
      <c r="J4" s="187" t="s">
        <v>236</v>
      </c>
    </row>
    <row r="5">
      <c r="A5" s="179"/>
      <c r="B5" s="147"/>
      <c r="C5" s="122" t="s">
        <v>237</v>
      </c>
      <c r="D5" s="122">
        <v>3.0</v>
      </c>
      <c r="E5" s="188" t="s">
        <v>238</v>
      </c>
      <c r="F5" s="122" t="s">
        <v>239</v>
      </c>
      <c r="G5" s="122" t="s">
        <v>240</v>
      </c>
      <c r="I5" s="186"/>
      <c r="J5" s="180" t="s">
        <v>241</v>
      </c>
    </row>
    <row r="6">
      <c r="A6" s="179"/>
      <c r="B6" s="189"/>
      <c r="G6" s="122" t="s">
        <v>242</v>
      </c>
      <c r="I6" s="186"/>
      <c r="J6" s="190" t="s">
        <v>243</v>
      </c>
    </row>
    <row r="7">
      <c r="A7" s="179"/>
      <c r="B7" s="189"/>
      <c r="I7" s="186"/>
      <c r="J7" s="180"/>
    </row>
    <row r="8">
      <c r="A8" s="179"/>
      <c r="B8" s="147" t="s">
        <v>244</v>
      </c>
      <c r="E8" s="191" t="s">
        <v>231</v>
      </c>
      <c r="F8" s="121"/>
      <c r="G8" s="121"/>
      <c r="H8" s="121"/>
      <c r="I8" s="186"/>
      <c r="J8" s="180" t="s">
        <v>245</v>
      </c>
      <c r="L8" s="192" t="s">
        <v>246</v>
      </c>
    </row>
    <row r="9">
      <c r="A9" s="179"/>
      <c r="B9" s="147"/>
      <c r="C9" s="120" t="s">
        <v>232</v>
      </c>
      <c r="D9" s="120" t="s">
        <v>233</v>
      </c>
      <c r="E9" s="185" t="s">
        <v>247</v>
      </c>
      <c r="F9" s="120">
        <v>1.0</v>
      </c>
      <c r="G9" s="120">
        <v>2.0</v>
      </c>
      <c r="H9" s="120">
        <v>3.0</v>
      </c>
      <c r="I9" s="186"/>
      <c r="J9" s="190" t="s">
        <v>248</v>
      </c>
      <c r="L9" s="120" t="s">
        <v>249</v>
      </c>
      <c r="M9" s="193"/>
    </row>
    <row r="10">
      <c r="A10" s="179"/>
      <c r="B10" s="147"/>
      <c r="C10" s="122" t="s">
        <v>250</v>
      </c>
      <c r="D10" s="122">
        <v>4.0</v>
      </c>
      <c r="E10" s="122" t="s">
        <v>239</v>
      </c>
      <c r="F10" s="122" t="s">
        <v>251</v>
      </c>
      <c r="G10" s="122" t="s">
        <v>251</v>
      </c>
      <c r="H10" s="122" t="s">
        <v>51</v>
      </c>
      <c r="I10" s="186"/>
      <c r="J10" s="180"/>
    </row>
    <row r="11">
      <c r="A11" s="179"/>
      <c r="B11" s="194"/>
      <c r="C11" s="195" t="s">
        <v>252</v>
      </c>
      <c r="D11" s="196"/>
      <c r="E11" s="197"/>
      <c r="F11" s="198" t="s">
        <v>253</v>
      </c>
      <c r="G11" s="198"/>
      <c r="H11" s="196"/>
      <c r="I11" s="199"/>
      <c r="J11" s="180"/>
    </row>
    <row r="12" ht="15.0" customHeight="1">
      <c r="A12" s="179"/>
      <c r="J12" s="180"/>
    </row>
    <row r="13" ht="14.25" customHeight="1">
      <c r="A13" s="179"/>
      <c r="B13" s="129"/>
      <c r="J13" s="180"/>
    </row>
    <row r="14">
      <c r="A14" s="200" t="s">
        <v>254</v>
      </c>
      <c r="B14" s="173" t="s">
        <v>230</v>
      </c>
      <c r="C14" s="182"/>
      <c r="D14" s="182"/>
      <c r="E14" s="183" t="s">
        <v>231</v>
      </c>
      <c r="F14" s="183"/>
      <c r="G14" s="183"/>
      <c r="H14" s="183"/>
      <c r="I14" s="184"/>
      <c r="J14" s="180"/>
    </row>
    <row r="15">
      <c r="A15" s="179"/>
      <c r="B15" s="147"/>
      <c r="C15" s="120" t="s">
        <v>232</v>
      </c>
      <c r="D15" s="120" t="s">
        <v>233</v>
      </c>
      <c r="E15" s="120">
        <v>0.0</v>
      </c>
      <c r="F15" s="120">
        <v>1.0</v>
      </c>
      <c r="G15" s="120">
        <v>2.0</v>
      </c>
      <c r="I15" s="186"/>
      <c r="J15" s="187" t="s">
        <v>236</v>
      </c>
    </row>
    <row r="16" ht="14.25" customHeight="1">
      <c r="A16" s="179"/>
      <c r="B16" s="147"/>
      <c r="C16" s="122" t="s">
        <v>237</v>
      </c>
      <c r="D16" s="122">
        <v>3.0</v>
      </c>
      <c r="E16" s="122" t="s">
        <v>238</v>
      </c>
      <c r="F16" s="122" t="s">
        <v>255</v>
      </c>
      <c r="G16" s="122" t="s">
        <v>240</v>
      </c>
      <c r="I16" s="186"/>
      <c r="J16" s="180" t="s">
        <v>241</v>
      </c>
    </row>
    <row r="17">
      <c r="A17" s="179"/>
      <c r="B17" s="189"/>
      <c r="G17" s="122" t="s">
        <v>242</v>
      </c>
      <c r="I17" s="186"/>
      <c r="J17" s="190" t="s">
        <v>256</v>
      </c>
      <c r="L17" s="192" t="s">
        <v>257</v>
      </c>
    </row>
    <row r="18" ht="16.5" customHeight="1">
      <c r="A18" s="179"/>
      <c r="B18" s="189"/>
      <c r="I18" s="186"/>
      <c r="J18" s="180"/>
      <c r="L18" s="193" t="s">
        <v>258</v>
      </c>
    </row>
    <row r="19">
      <c r="A19" s="179"/>
      <c r="B19" s="147" t="s">
        <v>244</v>
      </c>
      <c r="E19" s="121" t="s">
        <v>231</v>
      </c>
      <c r="F19" s="121"/>
      <c r="G19" s="121"/>
      <c r="H19" s="121"/>
      <c r="I19" s="186"/>
      <c r="J19" s="180" t="s">
        <v>259</v>
      </c>
      <c r="L19" s="120" t="s">
        <v>260</v>
      </c>
    </row>
    <row r="20">
      <c r="A20" s="179"/>
      <c r="B20" s="147"/>
      <c r="C20" s="120" t="s">
        <v>232</v>
      </c>
      <c r="D20" s="120" t="s">
        <v>233</v>
      </c>
      <c r="E20" s="120">
        <v>0.0</v>
      </c>
      <c r="F20" s="120">
        <v>1.0</v>
      </c>
      <c r="G20" s="120">
        <v>2.0</v>
      </c>
      <c r="H20" s="120">
        <v>3.0</v>
      </c>
      <c r="I20" s="186"/>
      <c r="J20" s="190" t="s">
        <v>261</v>
      </c>
      <c r="L20" s="201" t="s">
        <v>232</v>
      </c>
      <c r="M20" s="182" t="s">
        <v>233</v>
      </c>
      <c r="N20" s="182">
        <v>0.0</v>
      </c>
      <c r="O20" s="182">
        <v>1.0</v>
      </c>
      <c r="P20" s="184">
        <v>2.0</v>
      </c>
    </row>
    <row r="21" ht="15.75" customHeight="1">
      <c r="A21" s="179"/>
      <c r="B21" s="147"/>
      <c r="C21" s="122" t="s">
        <v>250</v>
      </c>
      <c r="D21" s="122">
        <v>4.0</v>
      </c>
      <c r="E21" s="122" t="s">
        <v>255</v>
      </c>
      <c r="F21" s="122" t="s">
        <v>251</v>
      </c>
      <c r="G21" s="122" t="s">
        <v>251</v>
      </c>
      <c r="H21" s="122" t="s">
        <v>51</v>
      </c>
      <c r="I21" s="186"/>
      <c r="J21" s="180"/>
      <c r="L21" s="202" t="s">
        <v>237</v>
      </c>
      <c r="M21" s="203">
        <v>3.0</v>
      </c>
      <c r="N21" s="203" t="s">
        <v>238</v>
      </c>
      <c r="O21" s="203" t="s">
        <v>262</v>
      </c>
      <c r="P21" s="204" t="s">
        <v>263</v>
      </c>
      <c r="Q21" s="122"/>
    </row>
    <row r="22" ht="15.75" customHeight="1">
      <c r="A22" s="179"/>
      <c r="B22" s="194"/>
      <c r="C22" s="195" t="s">
        <v>252</v>
      </c>
      <c r="D22" s="196"/>
      <c r="E22" s="197"/>
      <c r="F22" s="205" t="s">
        <v>253</v>
      </c>
      <c r="G22" s="206"/>
      <c r="H22" s="196"/>
      <c r="I22" s="199"/>
      <c r="J22" s="180"/>
    </row>
    <row r="23" ht="15.0" customHeight="1">
      <c r="A23" s="179"/>
      <c r="J23" s="180"/>
    </row>
    <row r="24" ht="15.0" customHeight="1">
      <c r="A24" s="179"/>
      <c r="J24" s="180"/>
    </row>
    <row r="25" ht="15.75" customHeight="1">
      <c r="A25" s="200" t="s">
        <v>264</v>
      </c>
      <c r="B25" s="173" t="s">
        <v>230</v>
      </c>
      <c r="C25" s="182"/>
      <c r="D25" s="182"/>
      <c r="E25" s="183" t="s">
        <v>231</v>
      </c>
      <c r="F25" s="183"/>
      <c r="G25" s="183"/>
      <c r="H25" s="183"/>
      <c r="I25" s="184"/>
      <c r="J25" s="180"/>
    </row>
    <row r="26" ht="15.75" customHeight="1">
      <c r="A26" s="179" t="s">
        <v>265</v>
      </c>
      <c r="B26" s="149"/>
      <c r="C26" s="120" t="s">
        <v>232</v>
      </c>
      <c r="D26" s="120" t="s">
        <v>233</v>
      </c>
      <c r="E26" s="120">
        <v>0.0</v>
      </c>
      <c r="F26" s="120">
        <v>1.0</v>
      </c>
      <c r="G26" s="120">
        <v>2.0</v>
      </c>
      <c r="I26" s="186"/>
      <c r="J26" s="180"/>
    </row>
    <row r="27" ht="15.75" customHeight="1">
      <c r="A27" s="179"/>
      <c r="B27" s="149"/>
      <c r="C27" s="122" t="s">
        <v>237</v>
      </c>
      <c r="D27" s="122">
        <v>3.0</v>
      </c>
      <c r="E27" s="122" t="s">
        <v>238</v>
      </c>
      <c r="F27" s="122" t="s">
        <v>266</v>
      </c>
      <c r="G27" s="122" t="s">
        <v>263</v>
      </c>
      <c r="I27" s="186"/>
      <c r="J27" s="180"/>
    </row>
    <row r="28" ht="15.75" customHeight="1">
      <c r="A28" s="179"/>
      <c r="B28" s="189"/>
      <c r="G28" s="122"/>
      <c r="I28" s="186"/>
      <c r="J28" s="180"/>
    </row>
    <row r="29" ht="15.75" customHeight="1">
      <c r="A29" s="179"/>
      <c r="B29" s="189"/>
      <c r="I29" s="186"/>
      <c r="J29" s="180"/>
    </row>
    <row r="30" ht="15.75" customHeight="1">
      <c r="A30" s="179"/>
      <c r="B30" s="147" t="s">
        <v>244</v>
      </c>
      <c r="E30" s="121" t="s">
        <v>231</v>
      </c>
      <c r="I30" s="186"/>
      <c r="J30" s="180"/>
    </row>
    <row r="31" ht="15.75" customHeight="1">
      <c r="A31" s="179"/>
      <c r="B31" s="147"/>
      <c r="C31" s="120" t="s">
        <v>232</v>
      </c>
      <c r="D31" s="120" t="s">
        <v>233</v>
      </c>
      <c r="E31" s="120">
        <v>0.0</v>
      </c>
      <c r="F31" s="120">
        <v>1.0</v>
      </c>
      <c r="G31" s="120">
        <v>2.0</v>
      </c>
      <c r="H31" s="120">
        <v>3.0</v>
      </c>
      <c r="I31" s="186"/>
      <c r="J31" s="180"/>
    </row>
    <row r="32" ht="15.75" customHeight="1">
      <c r="A32" s="179"/>
      <c r="B32" s="147"/>
      <c r="C32" s="122" t="s">
        <v>250</v>
      </c>
      <c r="D32" s="122">
        <v>6.0</v>
      </c>
      <c r="E32" s="122" t="s">
        <v>266</v>
      </c>
      <c r="F32" s="122" t="s">
        <v>251</v>
      </c>
      <c r="G32" s="122" t="s">
        <v>251</v>
      </c>
      <c r="H32" s="122" t="s">
        <v>51</v>
      </c>
      <c r="I32" s="186"/>
      <c r="J32" s="180"/>
    </row>
    <row r="33" ht="15.75" customHeight="1">
      <c r="A33" s="179"/>
      <c r="B33" s="194"/>
      <c r="C33" s="195" t="s">
        <v>252</v>
      </c>
      <c r="D33" s="196"/>
      <c r="E33" s="197"/>
      <c r="F33" s="196"/>
      <c r="G33" s="196"/>
      <c r="H33" s="196"/>
      <c r="I33" s="199"/>
      <c r="J33" s="180"/>
    </row>
    <row r="34" ht="15.0" customHeight="1">
      <c r="A34" s="179"/>
      <c r="F34" s="119" t="s">
        <v>267</v>
      </c>
      <c r="J34" s="180"/>
    </row>
    <row r="35" ht="15.0" customHeight="1">
      <c r="A35" s="179"/>
      <c r="F35" s="119" t="s">
        <v>268</v>
      </c>
      <c r="J35" s="180"/>
    </row>
    <row r="36" ht="15.0" customHeight="1">
      <c r="A36" s="179"/>
      <c r="F36" s="119" t="s">
        <v>269</v>
      </c>
      <c r="J36" s="180"/>
    </row>
    <row r="37" ht="15.0" customHeight="1">
      <c r="A37" s="207"/>
      <c r="B37" s="208"/>
      <c r="C37" s="208"/>
      <c r="D37" s="208"/>
      <c r="E37" s="208"/>
      <c r="F37" s="208"/>
      <c r="G37" s="208"/>
      <c r="H37" s="208"/>
      <c r="I37" s="208"/>
      <c r="J37" s="209"/>
    </row>
    <row r="38" ht="15.75" customHeight="1"/>
    <row r="39" ht="15.75" customHeight="1"/>
    <row r="40" ht="15.75" customHeight="1"/>
    <row r="41" ht="15.75" customHeight="1"/>
    <row r="42" ht="15.75" customHeight="1"/>
    <row r="43" ht="15.0" customHeight="1">
      <c r="A43" s="210"/>
      <c r="B43" s="211"/>
      <c r="C43" s="211"/>
      <c r="D43" s="211"/>
      <c r="E43" s="211"/>
      <c r="F43" s="211"/>
      <c r="G43" s="211"/>
      <c r="H43" s="211"/>
      <c r="I43" s="211"/>
      <c r="J43" s="212"/>
    </row>
    <row r="44" ht="15.0" customHeight="1">
      <c r="A44" s="181" t="s">
        <v>270</v>
      </c>
      <c r="B44" s="173" t="s">
        <v>230</v>
      </c>
      <c r="C44" s="182"/>
      <c r="D44" s="182"/>
      <c r="E44" s="183" t="s">
        <v>231</v>
      </c>
      <c r="F44" s="183"/>
      <c r="G44" s="183"/>
      <c r="H44" s="183"/>
      <c r="I44" s="184"/>
      <c r="J44" s="180"/>
    </row>
    <row r="45" ht="15.0" customHeight="1">
      <c r="A45" s="213" t="s">
        <v>271</v>
      </c>
      <c r="B45" s="147"/>
      <c r="C45" s="120" t="s">
        <v>232</v>
      </c>
      <c r="D45" s="120" t="s">
        <v>233</v>
      </c>
      <c r="E45" s="120">
        <v>0.0</v>
      </c>
      <c r="F45" s="120">
        <v>1.0</v>
      </c>
      <c r="G45" s="120">
        <v>2.0</v>
      </c>
      <c r="I45" s="186"/>
      <c r="J45" s="187" t="s">
        <v>236</v>
      </c>
    </row>
    <row r="46" ht="15.0" customHeight="1">
      <c r="A46" s="179"/>
      <c r="B46" s="147"/>
      <c r="C46" s="122" t="s">
        <v>237</v>
      </c>
      <c r="D46" s="122">
        <v>3.0</v>
      </c>
      <c r="E46" s="122" t="s">
        <v>238</v>
      </c>
      <c r="F46" s="122" t="s">
        <v>272</v>
      </c>
      <c r="G46" s="122" t="s">
        <v>240</v>
      </c>
      <c r="I46" s="186"/>
      <c r="J46" s="180" t="s">
        <v>241</v>
      </c>
      <c r="L46" s="192" t="s">
        <v>246</v>
      </c>
    </row>
    <row r="47" ht="15.0" customHeight="1">
      <c r="A47" s="179"/>
      <c r="B47" s="189"/>
      <c r="G47" s="122" t="s">
        <v>242</v>
      </c>
      <c r="I47" s="186"/>
      <c r="J47" s="190" t="s">
        <v>243</v>
      </c>
      <c r="L47" s="120" t="s">
        <v>249</v>
      </c>
    </row>
    <row r="48" ht="15.0" customHeight="1">
      <c r="A48" s="179"/>
      <c r="B48" s="189"/>
      <c r="I48" s="186"/>
      <c r="J48" s="180"/>
    </row>
    <row r="49" ht="15.0" customHeight="1">
      <c r="A49" s="179"/>
      <c r="B49" s="147" t="s">
        <v>244</v>
      </c>
      <c r="E49" s="121" t="s">
        <v>231</v>
      </c>
      <c r="F49" s="121"/>
      <c r="G49" s="121"/>
      <c r="H49" s="121"/>
      <c r="I49" s="186"/>
      <c r="J49" s="180" t="s">
        <v>245</v>
      </c>
    </row>
    <row r="50" ht="15.0" customHeight="1">
      <c r="A50" s="179"/>
      <c r="B50" s="147"/>
      <c r="C50" s="120" t="s">
        <v>232</v>
      </c>
      <c r="D50" s="120" t="s">
        <v>233</v>
      </c>
      <c r="E50" s="120">
        <v>0.0</v>
      </c>
      <c r="F50" s="120">
        <v>1.0</v>
      </c>
      <c r="G50" s="120">
        <v>2.0</v>
      </c>
      <c r="H50" s="120">
        <v>3.0</v>
      </c>
      <c r="I50" s="186"/>
      <c r="J50" s="190" t="s">
        <v>248</v>
      </c>
    </row>
    <row r="51" ht="15.0" customHeight="1">
      <c r="A51" s="179"/>
      <c r="B51" s="147"/>
      <c r="C51" s="122" t="s">
        <v>250</v>
      </c>
      <c r="D51" s="122">
        <v>4.0</v>
      </c>
      <c r="E51" s="122" t="s">
        <v>272</v>
      </c>
      <c r="F51" s="122" t="s">
        <v>251</v>
      </c>
      <c r="G51" s="122" t="s">
        <v>251</v>
      </c>
      <c r="H51" s="122" t="s">
        <v>51</v>
      </c>
      <c r="I51" s="186"/>
      <c r="J51" s="180"/>
    </row>
    <row r="52" ht="15.0" customHeight="1">
      <c r="A52" s="179"/>
      <c r="B52" s="194"/>
      <c r="C52" s="195" t="s">
        <v>252</v>
      </c>
      <c r="D52" s="196"/>
      <c r="E52" s="197"/>
      <c r="F52" s="198" t="s">
        <v>253</v>
      </c>
      <c r="G52" s="198"/>
      <c r="H52" s="196"/>
      <c r="I52" s="199"/>
      <c r="J52" s="180"/>
    </row>
    <row r="53" ht="15.0" customHeight="1">
      <c r="A53" s="179"/>
      <c r="J53" s="180"/>
    </row>
    <row r="54" ht="15.0" customHeight="1">
      <c r="A54" s="179"/>
      <c r="J54" s="180"/>
    </row>
    <row r="55" ht="15.0" customHeight="1">
      <c r="A55" s="181" t="s">
        <v>273</v>
      </c>
      <c r="B55" s="173" t="s">
        <v>230</v>
      </c>
      <c r="C55" s="182"/>
      <c r="D55" s="182"/>
      <c r="E55" s="183" t="s">
        <v>231</v>
      </c>
      <c r="F55" s="214"/>
      <c r="G55" s="214"/>
      <c r="H55" s="214"/>
      <c r="I55" s="184"/>
      <c r="J55" s="180"/>
    </row>
    <row r="56" ht="15.0" customHeight="1">
      <c r="A56" s="179"/>
      <c r="B56" s="149"/>
      <c r="C56" s="120" t="s">
        <v>232</v>
      </c>
      <c r="D56" s="120" t="s">
        <v>233</v>
      </c>
      <c r="E56" s="120">
        <v>0.0</v>
      </c>
      <c r="F56" s="120">
        <v>1.0</v>
      </c>
      <c r="G56" s="120">
        <v>2.0</v>
      </c>
      <c r="I56" s="186"/>
      <c r="J56" s="187" t="s">
        <v>236</v>
      </c>
    </row>
    <row r="57" ht="15.0" customHeight="1">
      <c r="A57" s="179"/>
      <c r="B57" s="149"/>
      <c r="C57" s="122" t="s">
        <v>237</v>
      </c>
      <c r="D57" s="122">
        <v>3.0</v>
      </c>
      <c r="E57" s="122" t="s">
        <v>238</v>
      </c>
      <c r="F57" s="122" t="s">
        <v>274</v>
      </c>
      <c r="G57" s="122" t="s">
        <v>240</v>
      </c>
      <c r="I57" s="186"/>
      <c r="J57" s="180" t="s">
        <v>241</v>
      </c>
    </row>
    <row r="58" ht="15.0" customHeight="1">
      <c r="A58" s="179"/>
      <c r="B58" s="189"/>
      <c r="G58" s="122" t="s">
        <v>242</v>
      </c>
      <c r="I58" s="186"/>
      <c r="J58" s="190" t="s">
        <v>256</v>
      </c>
      <c r="L58" s="192" t="s">
        <v>257</v>
      </c>
    </row>
    <row r="59" ht="15.0" customHeight="1">
      <c r="A59" s="179"/>
      <c r="B59" s="189"/>
      <c r="I59" s="186"/>
      <c r="J59" s="180"/>
      <c r="L59" s="193" t="s">
        <v>258</v>
      </c>
    </row>
    <row r="60" ht="15.0" customHeight="1">
      <c r="A60" s="179"/>
      <c r="B60" s="147" t="s">
        <v>244</v>
      </c>
      <c r="E60" s="121" t="s">
        <v>231</v>
      </c>
      <c r="I60" s="186"/>
      <c r="J60" s="180" t="s">
        <v>259</v>
      </c>
      <c r="L60" s="120" t="s">
        <v>260</v>
      </c>
    </row>
    <row r="61" ht="15.0" customHeight="1">
      <c r="A61" s="179"/>
      <c r="B61" s="147"/>
      <c r="C61" s="120" t="s">
        <v>232</v>
      </c>
      <c r="D61" s="120" t="s">
        <v>233</v>
      </c>
      <c r="E61" s="120">
        <v>0.0</v>
      </c>
      <c r="F61" s="120">
        <v>1.0</v>
      </c>
      <c r="G61" s="120">
        <v>2.0</v>
      </c>
      <c r="H61" s="120">
        <v>3.0</v>
      </c>
      <c r="I61" s="186"/>
      <c r="J61" s="190" t="s">
        <v>261</v>
      </c>
      <c r="L61" s="201" t="s">
        <v>232</v>
      </c>
      <c r="M61" s="182" t="s">
        <v>233</v>
      </c>
      <c r="N61" s="182">
        <v>0.0</v>
      </c>
      <c r="O61" s="182">
        <v>1.0</v>
      </c>
      <c r="P61" s="184">
        <v>2.0</v>
      </c>
    </row>
    <row r="62" ht="15.0" customHeight="1">
      <c r="A62" s="179"/>
      <c r="B62" s="147"/>
      <c r="C62" s="122" t="s">
        <v>250</v>
      </c>
      <c r="D62" s="122">
        <v>4.0</v>
      </c>
      <c r="E62" s="122" t="s">
        <v>274</v>
      </c>
      <c r="F62" s="122" t="s">
        <v>251</v>
      </c>
      <c r="G62" s="122" t="s">
        <v>251</v>
      </c>
      <c r="H62" s="122" t="s">
        <v>51</v>
      </c>
      <c r="I62" s="186"/>
      <c r="J62" s="180"/>
      <c r="L62" s="202" t="s">
        <v>237</v>
      </c>
      <c r="M62" s="203">
        <v>3.0</v>
      </c>
      <c r="N62" s="203" t="s">
        <v>238</v>
      </c>
      <c r="O62" s="203" t="s">
        <v>262</v>
      </c>
      <c r="P62" s="204" t="s">
        <v>263</v>
      </c>
    </row>
    <row r="63" ht="15.0" customHeight="1">
      <c r="A63" s="179"/>
      <c r="B63" s="194"/>
      <c r="C63" s="195" t="s">
        <v>252</v>
      </c>
      <c r="D63" s="196"/>
      <c r="E63" s="197"/>
      <c r="F63" s="205" t="s">
        <v>253</v>
      </c>
      <c r="G63" s="206"/>
      <c r="H63" s="196"/>
      <c r="I63" s="199"/>
      <c r="J63" s="180"/>
    </row>
    <row r="64" ht="15.0" customHeight="1">
      <c r="A64" s="207"/>
      <c r="B64" s="208"/>
      <c r="C64" s="208"/>
      <c r="D64" s="208"/>
      <c r="E64" s="208"/>
      <c r="F64" s="208"/>
      <c r="G64" s="208"/>
      <c r="H64" s="208"/>
      <c r="I64" s="208"/>
      <c r="J64" s="20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F22:G22"/>
    <mergeCell ref="B25:B27"/>
    <mergeCell ref="E30:H30"/>
    <mergeCell ref="B55:B57"/>
    <mergeCell ref="E55:H55"/>
    <mergeCell ref="E60:H60"/>
    <mergeCell ref="F63:G6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41.25"/>
    <col customWidth="1" min="3" max="3" width="11.75"/>
    <col customWidth="1" min="4" max="4" width="14.38"/>
    <col customWidth="1" min="5" max="5" width="8.63"/>
    <col customWidth="1" min="6" max="6" width="2.0"/>
    <col customWidth="1" min="7" max="7" width="40.38"/>
    <col customWidth="1" min="8" max="8" width="8.63"/>
    <col customWidth="1" min="9" max="9" width="11.13"/>
    <col customWidth="1" min="10" max="10" width="4.75"/>
    <col customWidth="1" min="11" max="11" width="2.25"/>
    <col customWidth="1" min="12" max="12" width="41.13"/>
    <col customWidth="1" min="13" max="13" width="18.25"/>
    <col customWidth="1" min="14" max="26" width="8.63"/>
  </cols>
  <sheetData>
    <row r="1">
      <c r="A1" s="201"/>
      <c r="B1" s="215" t="s">
        <v>275</v>
      </c>
      <c r="C1" s="182"/>
      <c r="D1" s="182"/>
      <c r="E1" s="182"/>
      <c r="F1" s="182"/>
      <c r="G1" s="216" t="s">
        <v>276</v>
      </c>
      <c r="H1" s="182"/>
      <c r="I1" s="184"/>
      <c r="J1" s="189"/>
      <c r="L1" s="160" t="s">
        <v>277</v>
      </c>
    </row>
    <row r="2">
      <c r="A2" s="194"/>
      <c r="B2" s="196"/>
      <c r="C2" s="196"/>
      <c r="D2" s="196"/>
      <c r="E2" s="196"/>
      <c r="F2" s="196"/>
      <c r="G2" s="196"/>
      <c r="H2" s="196"/>
      <c r="I2" s="199"/>
      <c r="J2" s="189"/>
    </row>
    <row r="3">
      <c r="A3" s="117">
        <v>1.0</v>
      </c>
      <c r="B3" s="117" t="s">
        <v>278</v>
      </c>
      <c r="F3" s="117">
        <v>1.0</v>
      </c>
      <c r="G3" s="117" t="s">
        <v>278</v>
      </c>
      <c r="J3" s="189"/>
      <c r="K3" s="117">
        <v>1.0</v>
      </c>
      <c r="L3" s="117" t="s">
        <v>278</v>
      </c>
    </row>
    <row r="4">
      <c r="B4" s="120" t="s">
        <v>279</v>
      </c>
      <c r="G4" s="120" t="s">
        <v>280</v>
      </c>
      <c r="J4" s="189"/>
      <c r="L4" s="193" t="s">
        <v>281</v>
      </c>
      <c r="M4" s="193"/>
    </row>
    <row r="5">
      <c r="B5" s="120" t="s">
        <v>282</v>
      </c>
      <c r="C5" s="120">
        <v>250.0</v>
      </c>
      <c r="G5" s="120" t="s">
        <v>282</v>
      </c>
      <c r="H5" s="120">
        <v>250.0</v>
      </c>
      <c r="J5" s="189"/>
      <c r="L5" s="193" t="s">
        <v>283</v>
      </c>
      <c r="M5" s="193">
        <v>500.0</v>
      </c>
    </row>
    <row r="6">
      <c r="B6" s="120" t="s">
        <v>284</v>
      </c>
      <c r="C6" s="120">
        <v>8.0</v>
      </c>
      <c r="G6" s="120" t="s">
        <v>284</v>
      </c>
      <c r="H6" s="120">
        <v>8.0</v>
      </c>
      <c r="J6" s="189"/>
      <c r="L6" s="193" t="s">
        <v>285</v>
      </c>
      <c r="M6" s="193">
        <v>8.0</v>
      </c>
    </row>
    <row r="7">
      <c r="B7" s="120" t="s">
        <v>286</v>
      </c>
      <c r="C7" s="120" t="s">
        <v>287</v>
      </c>
      <c r="G7" s="120" t="s">
        <v>286</v>
      </c>
      <c r="H7" s="120" t="s">
        <v>287</v>
      </c>
      <c r="J7" s="189"/>
      <c r="L7" s="193" t="s">
        <v>286</v>
      </c>
      <c r="M7" s="193"/>
    </row>
    <row r="8">
      <c r="B8" s="120" t="s">
        <v>288</v>
      </c>
      <c r="C8" s="217" t="s">
        <v>97</v>
      </c>
      <c r="G8" s="120" t="s">
        <v>288</v>
      </c>
      <c r="H8" s="217" t="s">
        <v>289</v>
      </c>
      <c r="J8" s="189"/>
      <c r="L8" s="193" t="s">
        <v>288</v>
      </c>
      <c r="M8" s="217" t="s">
        <v>228</v>
      </c>
    </row>
    <row r="9">
      <c r="J9" s="189"/>
    </row>
    <row r="10">
      <c r="J10" s="189"/>
    </row>
    <row r="11">
      <c r="J11" s="189"/>
      <c r="R11" s="120" t="s">
        <v>290</v>
      </c>
    </row>
    <row r="12">
      <c r="A12" s="117">
        <v>2.0</v>
      </c>
      <c r="B12" s="117" t="s">
        <v>291</v>
      </c>
      <c r="F12" s="117">
        <v>2.0</v>
      </c>
      <c r="G12" s="117" t="s">
        <v>291</v>
      </c>
      <c r="J12" s="189"/>
      <c r="K12" s="117">
        <v>2.0</v>
      </c>
      <c r="L12" s="117" t="s">
        <v>291</v>
      </c>
    </row>
    <row r="13">
      <c r="B13" s="120" t="s">
        <v>292</v>
      </c>
      <c r="C13" s="120">
        <v>0.2</v>
      </c>
      <c r="G13" s="120" t="s">
        <v>292</v>
      </c>
      <c r="H13" s="120">
        <v>0.5</v>
      </c>
      <c r="J13" s="189"/>
      <c r="L13" s="120" t="s">
        <v>292</v>
      </c>
      <c r="M13" s="120">
        <v>0.1</v>
      </c>
    </row>
    <row r="14">
      <c r="B14" s="140" t="s">
        <v>293</v>
      </c>
      <c r="C14" s="120">
        <f>4</f>
        <v>4</v>
      </c>
      <c r="G14" s="120" t="s">
        <v>294</v>
      </c>
      <c r="H14" s="120">
        <v>2.0</v>
      </c>
      <c r="J14" s="189"/>
      <c r="L14" s="120" t="s">
        <v>294</v>
      </c>
      <c r="M14" s="120">
        <v>1.0</v>
      </c>
    </row>
    <row r="15">
      <c r="B15" s="120" t="s">
        <v>295</v>
      </c>
      <c r="C15" s="120">
        <f>C14*8</f>
        <v>32</v>
      </c>
      <c r="G15" s="120" t="s">
        <v>296</v>
      </c>
      <c r="H15" s="120">
        <f>H14/H13</f>
        <v>4</v>
      </c>
      <c r="J15" s="189"/>
      <c r="L15" s="120" t="s">
        <v>296</v>
      </c>
      <c r="M15" s="120">
        <f>M14/M13</f>
        <v>10</v>
      </c>
    </row>
    <row r="16">
      <c r="B16" s="120" t="s">
        <v>297</v>
      </c>
      <c r="C16" s="120">
        <f>C15/C13</f>
        <v>160</v>
      </c>
      <c r="J16" s="189"/>
    </row>
    <row r="17">
      <c r="B17" s="140" t="s">
        <v>298</v>
      </c>
      <c r="C17" s="120" t="s">
        <v>299</v>
      </c>
      <c r="D17" s="120" t="s">
        <v>300</v>
      </c>
      <c r="J17" s="189"/>
    </row>
    <row r="18">
      <c r="C18" s="140" t="s">
        <v>301</v>
      </c>
      <c r="D18" s="120" t="s">
        <v>302</v>
      </c>
      <c r="H18" s="140"/>
      <c r="J18" s="189"/>
      <c r="M18" s="140"/>
    </row>
    <row r="19">
      <c r="J19" s="189"/>
    </row>
    <row r="20" ht="15.0" customHeight="1">
      <c r="A20" s="117">
        <v>3.0</v>
      </c>
      <c r="B20" s="117" t="s">
        <v>303</v>
      </c>
      <c r="F20" s="117">
        <v>3.0</v>
      </c>
      <c r="G20" s="117" t="s">
        <v>303</v>
      </c>
      <c r="J20" s="189"/>
      <c r="K20" s="117">
        <v>3.0</v>
      </c>
      <c r="L20" s="117" t="s">
        <v>303</v>
      </c>
    </row>
    <row r="21" ht="15.75" customHeight="1">
      <c r="B21" s="140" t="s">
        <v>304</v>
      </c>
      <c r="C21" s="120">
        <f>152*C22/1000</f>
        <v>24.32</v>
      </c>
      <c r="G21" s="120" t="s">
        <v>304</v>
      </c>
      <c r="H21" s="120">
        <f>152*H22/1000</f>
        <v>0.608</v>
      </c>
      <c r="J21" s="189"/>
      <c r="L21" s="120" t="s">
        <v>304</v>
      </c>
      <c r="M21" s="120">
        <f>152*M22/1000</f>
        <v>1.52</v>
      </c>
    </row>
    <row r="22" ht="15.75" customHeight="1">
      <c r="B22" s="120" t="s">
        <v>305</v>
      </c>
      <c r="C22" s="120">
        <f>C16</f>
        <v>160</v>
      </c>
      <c r="G22" s="120" t="s">
        <v>305</v>
      </c>
      <c r="H22" s="120">
        <f>H15</f>
        <v>4</v>
      </c>
      <c r="J22" s="189"/>
      <c r="L22" s="120" t="s">
        <v>305</v>
      </c>
      <c r="M22" s="120">
        <f>M15</f>
        <v>10</v>
      </c>
    </row>
    <row r="23" ht="15.75" customHeight="1">
      <c r="B23" s="120" t="s">
        <v>306</v>
      </c>
      <c r="C23" s="120">
        <f>_xlfn.FLOOR.MATH((C5*1000)/152)</f>
        <v>1644</v>
      </c>
      <c r="G23" s="120" t="s">
        <v>306</v>
      </c>
      <c r="H23" s="120">
        <f>_xlfn.FLOOR.MATH((H5*1000)/152)</f>
        <v>1644</v>
      </c>
      <c r="J23" s="189"/>
      <c r="L23" s="120" t="s">
        <v>306</v>
      </c>
      <c r="M23" s="120">
        <f>_xlfn.FLOOR.MATH((M5*1000)/152)</f>
        <v>3289</v>
      </c>
    </row>
    <row r="24" ht="15.75" customHeight="1">
      <c r="B24" s="218" t="s">
        <v>307</v>
      </c>
      <c r="C24" s="120">
        <f>_xlfn.FLOOR.MATH(0.5*C23)</f>
        <v>822</v>
      </c>
      <c r="G24" s="120" t="s">
        <v>307</v>
      </c>
      <c r="H24" s="120">
        <f>_xlfn.FLOOR.MATH(0.5*H23)</f>
        <v>822</v>
      </c>
      <c r="J24" s="189"/>
      <c r="L24" s="120" t="s">
        <v>308</v>
      </c>
      <c r="M24" s="120">
        <f>_xlfn.FLOOR.MATH(0.8*M23)</f>
        <v>2631</v>
      </c>
    </row>
    <row r="25" ht="15.75" customHeight="1">
      <c r="C25" s="122" t="str">
        <f>IF(C22&gt;C24,"BUSLOAD Exceeded 80%","BUSLOAD OK")</f>
        <v>BUSLOAD OK</v>
      </c>
      <c r="H25" s="122" t="str">
        <f>IF(H22&gt;H24,"BUSLOAD Exceeded 80%","BUSLOAD OK")</f>
        <v>BUSLOAD OK</v>
      </c>
      <c r="J25" s="189"/>
      <c r="M25" s="122" t="str">
        <f>IF(M22&gt;M24,"BUSLOAD Exceeded 80%","BUSLOAD OK")</f>
        <v>BUSLOAD OK</v>
      </c>
    </row>
    <row r="26" ht="15.75" customHeight="1">
      <c r="J26" s="189"/>
    </row>
    <row r="27" ht="15.75" customHeight="1">
      <c r="A27" s="117">
        <v>4.0</v>
      </c>
      <c r="B27" s="117" t="s">
        <v>309</v>
      </c>
      <c r="F27" s="117">
        <v>4.0</v>
      </c>
      <c r="G27" s="117" t="s">
        <v>309</v>
      </c>
      <c r="J27" s="189"/>
      <c r="K27" s="117">
        <v>4.0</v>
      </c>
      <c r="L27" s="117" t="s">
        <v>309</v>
      </c>
    </row>
    <row r="28" ht="15.75" customHeight="1">
      <c r="B28" s="120" t="s">
        <v>310</v>
      </c>
      <c r="C28" s="120" t="s">
        <v>311</v>
      </c>
      <c r="G28" s="120" t="s">
        <v>312</v>
      </c>
      <c r="H28" s="120" t="s">
        <v>313</v>
      </c>
      <c r="J28" s="189"/>
    </row>
    <row r="29" ht="15.75" customHeight="1">
      <c r="B29" s="120" t="s">
        <v>314</v>
      </c>
      <c r="C29" s="120" t="s">
        <v>51</v>
      </c>
      <c r="G29" s="120" t="s">
        <v>315</v>
      </c>
      <c r="H29" s="120" t="s">
        <v>316</v>
      </c>
      <c r="J29" s="189"/>
    </row>
    <row r="30" ht="15.75" customHeight="1">
      <c r="B30" s="120" t="s">
        <v>317</v>
      </c>
      <c r="C30" s="120" t="s">
        <v>318</v>
      </c>
      <c r="J30" s="189"/>
    </row>
    <row r="31" ht="15.75" customHeight="1">
      <c r="B31" s="120" t="s">
        <v>319</v>
      </c>
      <c r="C31" s="120" t="s">
        <v>320</v>
      </c>
      <c r="J31" s="189"/>
    </row>
    <row r="32" ht="15.75" customHeight="1">
      <c r="J32" s="189"/>
    </row>
    <row r="33" ht="15.75" customHeight="1">
      <c r="B33" s="120" t="s">
        <v>321</v>
      </c>
      <c r="J33" s="189"/>
    </row>
    <row r="34" ht="15.75" customHeight="1">
      <c r="B34" s="120" t="s">
        <v>322</v>
      </c>
      <c r="J34" s="189"/>
    </row>
    <row r="35" ht="15.75" customHeight="1">
      <c r="B35" s="120" t="s">
        <v>323</v>
      </c>
      <c r="J35" s="189"/>
    </row>
    <row r="36" ht="15.75" customHeight="1">
      <c r="J36" s="189"/>
    </row>
    <row r="37" ht="15.75" customHeight="1">
      <c r="J37" s="189"/>
    </row>
    <row r="38" ht="15.75" customHeight="1">
      <c r="J38" s="189"/>
    </row>
    <row r="39" ht="15.75" customHeight="1">
      <c r="J39" s="189"/>
    </row>
    <row r="40" ht="15.75" customHeight="1">
      <c r="B40" s="120" t="s">
        <v>324</v>
      </c>
      <c r="J40" s="189"/>
    </row>
    <row r="41" ht="15.75" customHeight="1">
      <c r="B41" s="120" t="s">
        <v>325</v>
      </c>
      <c r="J41" s="189"/>
    </row>
    <row r="42" ht="15.75" customHeight="1">
      <c r="B42" s="120" t="s">
        <v>326</v>
      </c>
      <c r="J42" s="189"/>
    </row>
    <row r="43" ht="15.75" customHeight="1">
      <c r="B43" s="120" t="s">
        <v>327</v>
      </c>
      <c r="J43" s="189"/>
    </row>
    <row r="44" ht="15.75" customHeight="1">
      <c r="B44" s="120" t="s">
        <v>328</v>
      </c>
      <c r="J44" s="189"/>
    </row>
    <row r="45" ht="15.75" customHeight="1">
      <c r="B45" s="120" t="s">
        <v>286</v>
      </c>
      <c r="J45" s="189"/>
    </row>
    <row r="46" ht="15.75" customHeight="1">
      <c r="B46" s="120" t="s">
        <v>288</v>
      </c>
      <c r="C46" s="120" t="s">
        <v>329</v>
      </c>
      <c r="J46" s="189"/>
    </row>
    <row r="47" ht="15.75" customHeight="1">
      <c r="J47" s="189"/>
    </row>
    <row r="48" ht="15.75" customHeight="1">
      <c r="B48" s="117"/>
      <c r="J48" s="189"/>
    </row>
    <row r="49" ht="15.75" customHeight="1">
      <c r="J49" s="189"/>
    </row>
    <row r="50" ht="15.75" customHeight="1">
      <c r="B50" s="120" t="s">
        <v>330</v>
      </c>
      <c r="J50" s="189"/>
    </row>
    <row r="51" ht="15.75" customHeight="1">
      <c r="J51" s="189"/>
    </row>
    <row r="52" ht="15.75" customHeight="1">
      <c r="J52" s="189"/>
    </row>
    <row r="53" ht="15.75" customHeight="1">
      <c r="J53" s="189"/>
    </row>
    <row r="54" ht="15.75" customHeight="1">
      <c r="J54" s="189"/>
    </row>
    <row r="55" ht="15.75" customHeight="1">
      <c r="J55" s="189"/>
    </row>
    <row r="56" ht="15.75" customHeight="1">
      <c r="J56" s="189"/>
    </row>
    <row r="57" ht="15.75" customHeight="1">
      <c r="B57" s="117"/>
      <c r="J57" s="189"/>
    </row>
    <row r="58" ht="15.75" customHeight="1">
      <c r="J58" s="189"/>
    </row>
    <row r="59" ht="15.75" customHeight="1">
      <c r="J59" s="189"/>
    </row>
    <row r="60" ht="15.75" customHeight="1">
      <c r="J60" s="189"/>
    </row>
    <row r="61" ht="15.75" customHeight="1">
      <c r="J61" s="189"/>
    </row>
    <row r="62" ht="15.75" customHeight="1">
      <c r="J62" s="189"/>
    </row>
    <row r="63" ht="15.75" customHeight="1">
      <c r="J63" s="189"/>
    </row>
    <row r="64" ht="15.75" customHeight="1">
      <c r="J64" s="189"/>
    </row>
    <row r="65" ht="15.75" customHeight="1">
      <c r="J65" s="189"/>
    </row>
    <row r="66" ht="15.75" customHeight="1">
      <c r="J66" s="189"/>
    </row>
    <row r="67" ht="15.75" customHeight="1">
      <c r="J67" s="189"/>
    </row>
    <row r="68" ht="15.75" customHeight="1">
      <c r="J68" s="189"/>
    </row>
    <row r="69" ht="15.75" customHeight="1">
      <c r="J69" s="189"/>
    </row>
    <row r="70" ht="15.75" customHeight="1">
      <c r="J70" s="189"/>
    </row>
    <row r="71" ht="15.75" customHeight="1">
      <c r="J71" s="189"/>
    </row>
    <row r="72" ht="15.75" customHeight="1">
      <c r="J72" s="189"/>
    </row>
    <row r="73" ht="15.75" customHeight="1">
      <c r="J73" s="189"/>
    </row>
    <row r="74" ht="15.75" customHeight="1">
      <c r="J74" s="189"/>
    </row>
    <row r="75" ht="15.75" customHeight="1">
      <c r="J75" s="189"/>
    </row>
    <row r="76" ht="15.75" customHeight="1">
      <c r="J76" s="189"/>
    </row>
    <row r="77" ht="15.75" customHeight="1">
      <c r="J77" s="189"/>
    </row>
    <row r="78" ht="15.75" customHeight="1">
      <c r="J78" s="189"/>
    </row>
    <row r="79" ht="15.75" customHeight="1">
      <c r="J79" s="189"/>
    </row>
    <row r="80" ht="15.75" customHeight="1">
      <c r="C80" s="119" t="s">
        <v>264</v>
      </c>
      <c r="H80" s="119" t="s">
        <v>264</v>
      </c>
      <c r="J80" s="189"/>
    </row>
    <row r="81" ht="15.75" customHeight="1">
      <c r="C81" s="119"/>
      <c r="H81" s="119"/>
      <c r="J81" s="189"/>
    </row>
    <row r="82" ht="15.75" customHeight="1">
      <c r="C82" s="119"/>
      <c r="H82" s="119"/>
      <c r="J82" s="189"/>
    </row>
    <row r="83" ht="15.75" customHeight="1">
      <c r="C83" s="119"/>
      <c r="H83" s="119"/>
      <c r="J83" s="189"/>
    </row>
    <row r="84" ht="15.75" customHeight="1">
      <c r="C84" s="119"/>
      <c r="H84" s="119"/>
      <c r="J84" s="189"/>
    </row>
    <row r="85" ht="15.75" customHeight="1">
      <c r="C85" s="119"/>
      <c r="H85" s="119"/>
      <c r="J85" s="189"/>
    </row>
    <row r="86" ht="15.75" customHeight="1">
      <c r="C86" s="119"/>
      <c r="H86" s="119"/>
      <c r="J86" s="189"/>
    </row>
    <row r="87" ht="15.75" customHeight="1">
      <c r="C87" s="119"/>
      <c r="H87" s="119"/>
      <c r="J87" s="189"/>
    </row>
    <row r="88" ht="15.75" customHeight="1">
      <c r="C88" s="119"/>
      <c r="H88" s="119"/>
      <c r="J88" s="189"/>
    </row>
    <row r="89" ht="15.75" customHeight="1">
      <c r="C89" s="119"/>
      <c r="H89" s="119"/>
      <c r="J89" s="189"/>
    </row>
    <row r="90" ht="15.75" customHeight="1">
      <c r="C90" s="119"/>
      <c r="H90" s="119"/>
      <c r="J90" s="189"/>
    </row>
    <row r="91" ht="15.75" customHeight="1">
      <c r="C91" s="119"/>
      <c r="H91" s="119"/>
      <c r="J91" s="189"/>
    </row>
    <row r="92" ht="15.75" customHeight="1">
      <c r="C92" s="119"/>
      <c r="H92" s="119"/>
      <c r="J92" s="189"/>
    </row>
    <row r="93" ht="15.75" customHeight="1">
      <c r="C93" s="119"/>
      <c r="H93" s="119"/>
      <c r="J93" s="189"/>
    </row>
    <row r="94" ht="15.75" customHeight="1">
      <c r="C94" s="119"/>
      <c r="H94" s="119"/>
      <c r="J94" s="189"/>
    </row>
    <row r="95" ht="15.75" customHeight="1">
      <c r="C95" s="119"/>
      <c r="H95" s="119"/>
      <c r="J95" s="189"/>
    </row>
    <row r="96" ht="15.75" customHeight="1">
      <c r="C96" s="119"/>
      <c r="H96" s="119"/>
      <c r="J96" s="189"/>
    </row>
    <row r="97" ht="15.75" customHeight="1">
      <c r="C97" s="119"/>
      <c r="H97" s="119"/>
      <c r="J97" s="189"/>
    </row>
    <row r="98" ht="15.75" customHeight="1">
      <c r="C98" s="119"/>
      <c r="H98" s="119"/>
      <c r="J98" s="189"/>
    </row>
    <row r="99" ht="15.75" customHeight="1">
      <c r="C99" s="119"/>
      <c r="H99" s="119"/>
      <c r="J99" s="189"/>
    </row>
    <row r="100" ht="15.75" customHeight="1">
      <c r="C100" s="119"/>
      <c r="H100" s="119"/>
      <c r="J100" s="189"/>
    </row>
    <row r="101" ht="15.75" customHeight="1">
      <c r="J101" s="189"/>
    </row>
    <row r="102" ht="15.75" customHeight="1">
      <c r="J102" s="189"/>
    </row>
    <row r="103" ht="15.75" customHeight="1">
      <c r="J103" s="189"/>
    </row>
    <row r="104" ht="15.75" customHeight="1">
      <c r="J104" s="189"/>
    </row>
    <row r="105" ht="15.75" customHeight="1">
      <c r="J105" s="189"/>
    </row>
    <row r="106" ht="15.75" customHeight="1">
      <c r="J106" s="189"/>
    </row>
    <row r="107" ht="15.75" customHeight="1">
      <c r="J107" s="189"/>
    </row>
    <row r="108" ht="15.75" customHeight="1">
      <c r="J108" s="189"/>
    </row>
    <row r="109" ht="15.75" customHeight="1">
      <c r="J109" s="189"/>
    </row>
    <row r="110" ht="15.75" customHeight="1">
      <c r="J110" s="189"/>
    </row>
    <row r="111" ht="15.75" customHeight="1">
      <c r="J111" s="189"/>
    </row>
    <row r="112" ht="15.75" customHeight="1">
      <c r="J112" s="189"/>
    </row>
    <row r="113" ht="15.75" customHeight="1">
      <c r="J113" s="189"/>
    </row>
    <row r="114" ht="15.75" customHeight="1">
      <c r="J114" s="189"/>
    </row>
    <row r="115" ht="15.75" customHeight="1">
      <c r="J115" s="189"/>
    </row>
    <row r="116" ht="15.75" customHeight="1">
      <c r="J116" s="189"/>
    </row>
    <row r="117" ht="15.75" customHeight="1">
      <c r="J117" s="189"/>
    </row>
    <row r="118" ht="15.75" customHeight="1">
      <c r="J118" s="189"/>
    </row>
    <row r="119" ht="15.75" customHeight="1">
      <c r="J119" s="189"/>
    </row>
    <row r="120" ht="15.75" customHeight="1">
      <c r="J120" s="189"/>
    </row>
    <row r="121" ht="15.75" customHeight="1">
      <c r="J121" s="189"/>
    </row>
    <row r="122" ht="15.75" customHeight="1">
      <c r="J122" s="189"/>
    </row>
    <row r="123" ht="15.75" customHeight="1">
      <c r="J123" s="189"/>
    </row>
    <row r="124" ht="15.75" customHeight="1">
      <c r="J124" s="189"/>
    </row>
    <row r="125" ht="15.75" customHeight="1">
      <c r="J125" s="189"/>
    </row>
    <row r="126" ht="15.75" customHeight="1">
      <c r="J126" s="189"/>
    </row>
    <row r="127" ht="15.75" customHeight="1">
      <c r="J127" s="189"/>
    </row>
    <row r="128" ht="15.75" customHeight="1">
      <c r="J128" s="189"/>
    </row>
    <row r="129" ht="15.75" customHeight="1">
      <c r="J129" s="189"/>
    </row>
    <row r="130" ht="15.75" customHeight="1">
      <c r="J130" s="189"/>
    </row>
    <row r="131" ht="15.75" customHeight="1">
      <c r="J131" s="189"/>
    </row>
    <row r="132" ht="15.75" customHeight="1">
      <c r="J132" s="189"/>
    </row>
    <row r="133" ht="15.75" customHeight="1">
      <c r="J133" s="189"/>
    </row>
    <row r="134" ht="15.75" customHeight="1">
      <c r="J134" s="189"/>
    </row>
    <row r="135" ht="15.75" customHeight="1">
      <c r="J135" s="189"/>
    </row>
    <row r="136" ht="15.75" customHeight="1">
      <c r="J136" s="189"/>
    </row>
    <row r="137" ht="15.75" customHeight="1">
      <c r="J137" s="189"/>
    </row>
    <row r="138" ht="15.75" customHeight="1">
      <c r="J138" s="189"/>
    </row>
    <row r="139" ht="15.75" customHeight="1">
      <c r="J139" s="189"/>
    </row>
    <row r="140" ht="15.75" customHeight="1">
      <c r="J140" s="189"/>
    </row>
    <row r="141" ht="15.75" customHeight="1">
      <c r="J141" s="189"/>
    </row>
    <row r="142" ht="15.75" customHeight="1">
      <c r="J142" s="189"/>
    </row>
    <row r="143" ht="15.75" customHeight="1">
      <c r="J143" s="189"/>
    </row>
    <row r="144" ht="15.75" customHeight="1">
      <c r="J144" s="189"/>
    </row>
    <row r="145" ht="15.75" customHeight="1">
      <c r="J145" s="189"/>
    </row>
    <row r="146" ht="15.75" customHeight="1">
      <c r="J146" s="189"/>
    </row>
    <row r="147" ht="15.75" customHeight="1">
      <c r="J147" s="189"/>
    </row>
    <row r="148" ht="15.75" customHeight="1">
      <c r="J148" s="189"/>
    </row>
    <row r="149" ht="15.75" customHeight="1">
      <c r="J149" s="189"/>
    </row>
    <row r="150" ht="15.75" customHeight="1">
      <c r="J150" s="189"/>
    </row>
    <row r="151" ht="15.75" customHeight="1">
      <c r="J151" s="189"/>
    </row>
    <row r="152" ht="15.75" customHeight="1">
      <c r="J152" s="189"/>
    </row>
    <row r="153" ht="15.75" customHeight="1">
      <c r="J153" s="189"/>
    </row>
    <row r="154" ht="15.75" customHeight="1">
      <c r="J154" s="189"/>
    </row>
    <row r="155" ht="15.75" customHeight="1">
      <c r="J155" s="189"/>
    </row>
    <row r="156" ht="15.75" customHeight="1">
      <c r="J156" s="189"/>
    </row>
    <row r="157" ht="15.75" customHeight="1">
      <c r="J157" s="189"/>
    </row>
    <row r="158" ht="15.75" customHeight="1">
      <c r="J158" s="189"/>
    </row>
    <row r="159" ht="15.75" customHeight="1">
      <c r="J159" s="189"/>
    </row>
    <row r="160" ht="15.75" customHeight="1">
      <c r="J160" s="189"/>
    </row>
    <row r="161" ht="15.75" customHeight="1">
      <c r="J161" s="189"/>
    </row>
    <row r="162" ht="15.75" customHeight="1">
      <c r="J162" s="189"/>
    </row>
    <row r="163" ht="15.75" customHeight="1">
      <c r="J163" s="189"/>
    </row>
    <row r="164" ht="15.75" customHeight="1">
      <c r="J164" s="189"/>
    </row>
    <row r="165" ht="15.75" customHeight="1">
      <c r="J165" s="189"/>
    </row>
    <row r="166" ht="15.75" customHeight="1">
      <c r="J166" s="189"/>
    </row>
    <row r="167" ht="15.75" customHeight="1">
      <c r="J167" s="189"/>
    </row>
    <row r="168" ht="15.75" customHeight="1">
      <c r="J168" s="189"/>
    </row>
    <row r="169" ht="15.75" customHeight="1">
      <c r="J169" s="189"/>
    </row>
    <row r="170" ht="15.75" customHeight="1">
      <c r="J170" s="189"/>
    </row>
    <row r="171" ht="15.75" customHeight="1">
      <c r="J171" s="189"/>
    </row>
    <row r="172" ht="15.75" customHeight="1">
      <c r="J172" s="189"/>
    </row>
    <row r="173" ht="15.75" customHeight="1">
      <c r="J173" s="189"/>
    </row>
    <row r="174" ht="15.75" customHeight="1">
      <c r="J174" s="189"/>
    </row>
    <row r="175" ht="15.75" customHeight="1">
      <c r="J175" s="189"/>
    </row>
    <row r="176" ht="15.75" customHeight="1">
      <c r="J176" s="189"/>
    </row>
    <row r="177" ht="15.75" customHeight="1">
      <c r="J177" s="189"/>
    </row>
    <row r="178" ht="15.75" customHeight="1">
      <c r="J178" s="189"/>
    </row>
    <row r="179" ht="15.75" customHeight="1">
      <c r="J179" s="189"/>
    </row>
    <row r="180" ht="15.75" customHeight="1">
      <c r="J180" s="189"/>
    </row>
    <row r="181" ht="15.75" customHeight="1">
      <c r="J181" s="189"/>
    </row>
    <row r="182" ht="15.75" customHeight="1">
      <c r="J182" s="189"/>
    </row>
    <row r="183" ht="15.75" customHeight="1">
      <c r="J183" s="189"/>
    </row>
    <row r="184" ht="15.75" customHeight="1">
      <c r="J184" s="189"/>
    </row>
    <row r="185" ht="15.75" customHeight="1">
      <c r="J185" s="189"/>
    </row>
    <row r="186" ht="15.75" customHeight="1">
      <c r="J186" s="189"/>
    </row>
    <row r="187" ht="15.75" customHeight="1">
      <c r="J187" s="189"/>
    </row>
    <row r="188" ht="15.75" customHeight="1">
      <c r="J188" s="189"/>
    </row>
    <row r="189" ht="15.75" customHeight="1">
      <c r="J189" s="189"/>
    </row>
    <row r="190" ht="15.75" customHeight="1">
      <c r="J190" s="189"/>
    </row>
    <row r="191" ht="15.75" customHeight="1">
      <c r="J191" s="189"/>
    </row>
    <row r="192" ht="15.75" customHeight="1">
      <c r="J192" s="189"/>
    </row>
    <row r="193" ht="15.75" customHeight="1">
      <c r="J193" s="189"/>
    </row>
    <row r="194" ht="15.75" customHeight="1">
      <c r="J194" s="189"/>
    </row>
    <row r="195" ht="15.75" customHeight="1">
      <c r="J195" s="189"/>
    </row>
    <row r="196" ht="15.75" customHeight="1">
      <c r="J196" s="189"/>
    </row>
    <row r="197" ht="15.75" customHeight="1">
      <c r="J197" s="189"/>
    </row>
    <row r="198" ht="15.75" customHeight="1">
      <c r="J198" s="189"/>
    </row>
    <row r="199" ht="15.75" customHeight="1">
      <c r="J199" s="189"/>
    </row>
    <row r="200" ht="15.75" customHeight="1">
      <c r="J200" s="189"/>
    </row>
    <row r="201" ht="15.75" customHeight="1">
      <c r="J201" s="189"/>
    </row>
    <row r="202" ht="15.75" customHeight="1">
      <c r="J202" s="189"/>
    </row>
    <row r="203" ht="15.75" customHeight="1">
      <c r="J203" s="189"/>
    </row>
    <row r="204" ht="15.75" customHeight="1">
      <c r="J204" s="189"/>
    </row>
    <row r="205" ht="15.75" customHeight="1">
      <c r="J205" s="189"/>
    </row>
    <row r="206" ht="15.75" customHeight="1">
      <c r="J206" s="189"/>
    </row>
    <row r="207" ht="15.75" customHeight="1">
      <c r="J207" s="189"/>
    </row>
    <row r="208" ht="15.75" customHeight="1">
      <c r="J208" s="189"/>
    </row>
    <row r="209" ht="15.75" customHeight="1">
      <c r="J209" s="189"/>
    </row>
    <row r="210" ht="15.75" customHeight="1">
      <c r="J210" s="189"/>
    </row>
    <row r="211" ht="15.75" customHeight="1">
      <c r="J211" s="189"/>
    </row>
    <row r="212" ht="15.75" customHeight="1">
      <c r="J212" s="189"/>
    </row>
    <row r="213" ht="15.75" customHeight="1">
      <c r="J213" s="189"/>
    </row>
    <row r="214" ht="15.75" customHeight="1">
      <c r="J214" s="189"/>
    </row>
    <row r="215" ht="15.75" customHeight="1">
      <c r="J215" s="189"/>
    </row>
    <row r="216" ht="15.75" customHeight="1">
      <c r="J216" s="189"/>
    </row>
    <row r="217" ht="15.75" customHeight="1">
      <c r="J217" s="189"/>
    </row>
    <row r="218" ht="15.75" customHeight="1">
      <c r="J218" s="189"/>
    </row>
    <row r="219" ht="15.75" customHeight="1">
      <c r="J219" s="189"/>
    </row>
    <row r="220" ht="15.75" customHeight="1">
      <c r="J220" s="189"/>
    </row>
    <row r="221" ht="15.75" customHeight="1">
      <c r="J221" s="189"/>
    </row>
    <row r="222" ht="15.75" customHeight="1">
      <c r="J222" s="189"/>
    </row>
    <row r="223" ht="15.75" customHeight="1">
      <c r="J223" s="189"/>
    </row>
    <row r="224" ht="15.75" customHeight="1">
      <c r="J224" s="189"/>
    </row>
    <row r="225" ht="15.75" customHeight="1">
      <c r="J225" s="189"/>
    </row>
    <row r="226" ht="15.75" customHeight="1">
      <c r="J226" s="189"/>
    </row>
    <row r="227" ht="15.75" customHeight="1">
      <c r="J227" s="189"/>
    </row>
    <row r="228" ht="15.75" customHeight="1">
      <c r="J228" s="189"/>
    </row>
    <row r="229" ht="15.75" customHeight="1">
      <c r="J229" s="189"/>
    </row>
    <row r="230" ht="15.75" customHeight="1">
      <c r="J230" s="189"/>
    </row>
    <row r="231" ht="15.75" customHeight="1">
      <c r="J231" s="189"/>
    </row>
    <row r="232" ht="15.75" customHeight="1">
      <c r="J232" s="189"/>
    </row>
    <row r="233" ht="15.75" customHeight="1">
      <c r="J233" s="189"/>
    </row>
    <row r="234" ht="15.75" customHeight="1">
      <c r="J234" s="189"/>
    </row>
    <row r="235" ht="15.75" customHeight="1">
      <c r="J235" s="189"/>
    </row>
    <row r="236" ht="15.75" customHeight="1">
      <c r="J236" s="189"/>
    </row>
    <row r="237" ht="15.75" customHeight="1">
      <c r="J237" s="189"/>
    </row>
    <row r="238" ht="15.75" customHeight="1">
      <c r="J238" s="189"/>
    </row>
    <row r="239" ht="15.75" customHeight="1">
      <c r="J239" s="189"/>
    </row>
    <row r="240" ht="15.75" customHeight="1">
      <c r="J240" s="189"/>
    </row>
    <row r="241" ht="15.75" customHeight="1">
      <c r="J241" s="189"/>
    </row>
    <row r="242" ht="15.75" customHeight="1">
      <c r="J242" s="189"/>
    </row>
    <row r="243" ht="15.75" customHeight="1">
      <c r="J243" s="189"/>
    </row>
    <row r="244" ht="15.75" customHeight="1">
      <c r="J244" s="189"/>
    </row>
    <row r="245" ht="15.75" customHeight="1">
      <c r="J245" s="189"/>
    </row>
    <row r="246" ht="15.75" customHeight="1">
      <c r="J246" s="189"/>
    </row>
    <row r="247" ht="15.75" customHeight="1">
      <c r="J247" s="189"/>
    </row>
    <row r="248" ht="15.75" customHeight="1">
      <c r="J248" s="189"/>
    </row>
    <row r="249" ht="15.75" customHeight="1">
      <c r="J249" s="189"/>
    </row>
    <row r="250" ht="15.75" customHeight="1">
      <c r="J250" s="189"/>
    </row>
    <row r="251" ht="15.75" customHeight="1">
      <c r="J251" s="189"/>
    </row>
    <row r="252" ht="15.75" customHeight="1">
      <c r="J252" s="189"/>
    </row>
    <row r="253" ht="15.75" customHeight="1">
      <c r="J253" s="189"/>
    </row>
    <row r="254" ht="15.75" customHeight="1">
      <c r="J254" s="189"/>
    </row>
    <row r="255" ht="15.75" customHeight="1">
      <c r="J255" s="189"/>
    </row>
    <row r="256" ht="15.75" customHeight="1">
      <c r="J256" s="189"/>
    </row>
    <row r="257" ht="15.75" customHeight="1">
      <c r="J257" s="189"/>
    </row>
    <row r="258" ht="15.75" customHeight="1">
      <c r="J258" s="189"/>
    </row>
    <row r="259" ht="15.75" customHeight="1">
      <c r="J259" s="189"/>
    </row>
    <row r="260" ht="15.75" customHeight="1">
      <c r="J260" s="189"/>
    </row>
    <row r="261" ht="15.75" customHeight="1">
      <c r="J261" s="189"/>
    </row>
    <row r="262" ht="15.75" customHeight="1">
      <c r="J262" s="189"/>
    </row>
    <row r="263" ht="15.75" customHeight="1">
      <c r="J263" s="189"/>
    </row>
    <row r="264" ht="15.75" customHeight="1">
      <c r="J264" s="189"/>
    </row>
    <row r="265" ht="15.75" customHeight="1">
      <c r="J265" s="189"/>
    </row>
    <row r="266" ht="15.75" customHeight="1">
      <c r="J266" s="189"/>
    </row>
    <row r="267" ht="15.75" customHeight="1">
      <c r="J267" s="189"/>
    </row>
    <row r="268" ht="15.75" customHeight="1">
      <c r="J268" s="189"/>
    </row>
    <row r="269" ht="15.75" customHeight="1">
      <c r="J269" s="189"/>
    </row>
    <row r="270" ht="15.75" customHeight="1">
      <c r="J270" s="189"/>
    </row>
    <row r="271" ht="15.75" customHeight="1">
      <c r="J271" s="189"/>
    </row>
    <row r="272" ht="15.75" customHeight="1">
      <c r="J272" s="189"/>
    </row>
    <row r="273" ht="15.75" customHeight="1">
      <c r="J273" s="189"/>
    </row>
    <row r="274" ht="15.75" customHeight="1">
      <c r="J274" s="189"/>
    </row>
    <row r="275" ht="15.75" customHeight="1">
      <c r="J275" s="189"/>
    </row>
    <row r="276" ht="15.75" customHeight="1">
      <c r="J276" s="189"/>
    </row>
    <row r="277" ht="15.75" customHeight="1">
      <c r="J277" s="189"/>
    </row>
    <row r="278" ht="15.75" customHeight="1">
      <c r="J278" s="189"/>
    </row>
    <row r="279" ht="15.75" customHeight="1">
      <c r="J279" s="189"/>
    </row>
    <row r="280" ht="15.75" customHeight="1">
      <c r="J280" s="189"/>
    </row>
    <row r="281" ht="15.75" customHeight="1">
      <c r="J281" s="189"/>
    </row>
    <row r="282" ht="15.75" customHeight="1">
      <c r="J282" s="189"/>
    </row>
    <row r="283" ht="15.75" customHeight="1">
      <c r="J283" s="189"/>
    </row>
    <row r="284" ht="15.75" customHeight="1">
      <c r="J284" s="189"/>
    </row>
    <row r="285" ht="15.75" customHeight="1">
      <c r="J285" s="189"/>
    </row>
    <row r="286" ht="15.75" customHeight="1">
      <c r="J286" s="189"/>
    </row>
    <row r="287" ht="15.75" customHeight="1">
      <c r="J287" s="189"/>
    </row>
    <row r="288" ht="15.75" customHeight="1">
      <c r="J288" s="189"/>
    </row>
    <row r="289" ht="15.75" customHeight="1">
      <c r="J289" s="189"/>
    </row>
    <row r="290" ht="15.75" customHeight="1">
      <c r="J290" s="189"/>
    </row>
    <row r="291" ht="15.75" customHeight="1">
      <c r="J291" s="189"/>
    </row>
    <row r="292" ht="15.75" customHeight="1">
      <c r="J292" s="189"/>
    </row>
    <row r="293" ht="15.75" customHeight="1">
      <c r="J293" s="189"/>
    </row>
    <row r="294" ht="15.75" customHeight="1">
      <c r="J294" s="189"/>
    </row>
    <row r="295" ht="15.75" customHeight="1">
      <c r="J295" s="189"/>
    </row>
    <row r="296" ht="15.75" customHeight="1">
      <c r="J296" s="189"/>
    </row>
    <row r="297" ht="15.75" customHeight="1">
      <c r="J297" s="189"/>
    </row>
    <row r="298" ht="15.75" customHeight="1">
      <c r="J298" s="189"/>
    </row>
    <row r="299" ht="15.75" customHeight="1">
      <c r="J299" s="189"/>
    </row>
    <row r="300" ht="15.75" customHeight="1">
      <c r="J300" s="189"/>
    </row>
    <row r="301" ht="15.75" customHeight="1">
      <c r="J301" s="189"/>
    </row>
    <row r="302" ht="15.75" customHeight="1">
      <c r="J302" s="189"/>
    </row>
    <row r="303" ht="15.75" customHeight="1">
      <c r="J303" s="189"/>
    </row>
    <row r="304" ht="15.75" customHeight="1">
      <c r="J304" s="189"/>
    </row>
    <row r="305" ht="15.75" customHeight="1">
      <c r="J305" s="189"/>
    </row>
    <row r="306" ht="15.75" customHeight="1">
      <c r="J306" s="189"/>
    </row>
    <row r="307" ht="15.75" customHeight="1">
      <c r="J307" s="189"/>
    </row>
    <row r="308" ht="15.75" customHeight="1">
      <c r="J308" s="189"/>
    </row>
    <row r="309" ht="15.75" customHeight="1">
      <c r="J309" s="189"/>
    </row>
    <row r="310" ht="15.75" customHeight="1">
      <c r="J310" s="189"/>
    </row>
    <row r="311" ht="15.75" customHeight="1">
      <c r="J311" s="189"/>
    </row>
    <row r="312" ht="15.75" customHeight="1">
      <c r="J312" s="189"/>
    </row>
    <row r="313" ht="15.75" customHeight="1">
      <c r="J313" s="189"/>
    </row>
    <row r="314" ht="15.75" customHeight="1">
      <c r="J314" s="189"/>
    </row>
    <row r="315" ht="15.75" customHeight="1">
      <c r="J315" s="189"/>
    </row>
    <row r="316" ht="15.75" customHeight="1">
      <c r="J316" s="189"/>
    </row>
    <row r="317" ht="15.75" customHeight="1">
      <c r="J317" s="189"/>
    </row>
    <row r="318" ht="15.75" customHeight="1">
      <c r="J318" s="189"/>
    </row>
    <row r="319" ht="15.75" customHeight="1">
      <c r="J319" s="189"/>
    </row>
    <row r="320" ht="15.75" customHeight="1">
      <c r="J320" s="189"/>
    </row>
    <row r="321" ht="15.75" customHeight="1">
      <c r="J321" s="189"/>
    </row>
    <row r="322" ht="15.75" customHeight="1">
      <c r="J322" s="189"/>
    </row>
    <row r="323" ht="15.75" customHeight="1">
      <c r="J323" s="189"/>
    </row>
    <row r="324" ht="15.75" customHeight="1">
      <c r="J324" s="189"/>
    </row>
    <row r="325" ht="15.75" customHeight="1">
      <c r="J325" s="189"/>
    </row>
    <row r="326" ht="15.75" customHeight="1">
      <c r="J326" s="189"/>
    </row>
    <row r="327" ht="15.75" customHeight="1">
      <c r="J327" s="189"/>
    </row>
    <row r="328" ht="15.75" customHeight="1">
      <c r="J328" s="189"/>
    </row>
    <row r="329" ht="15.75" customHeight="1">
      <c r="J329" s="189"/>
    </row>
    <row r="330" ht="15.75" customHeight="1">
      <c r="J330" s="189"/>
    </row>
    <row r="331" ht="15.75" customHeight="1">
      <c r="J331" s="189"/>
    </row>
    <row r="332" ht="15.75" customHeight="1">
      <c r="J332" s="189"/>
    </row>
    <row r="333" ht="15.75" customHeight="1">
      <c r="J333" s="189"/>
    </row>
    <row r="334" ht="15.75" customHeight="1">
      <c r="J334" s="189"/>
    </row>
    <row r="335" ht="15.75" customHeight="1">
      <c r="J335" s="189"/>
    </row>
    <row r="336" ht="15.75" customHeight="1">
      <c r="J336" s="189"/>
    </row>
    <row r="337" ht="15.75" customHeight="1">
      <c r="J337" s="189"/>
    </row>
    <row r="338" ht="15.75" customHeight="1">
      <c r="J338" s="189"/>
    </row>
    <row r="339" ht="15.75" customHeight="1">
      <c r="J339" s="189"/>
    </row>
    <row r="340" ht="15.75" customHeight="1">
      <c r="J340" s="189"/>
    </row>
    <row r="341" ht="15.75" customHeight="1">
      <c r="J341" s="189"/>
    </row>
    <row r="342" ht="15.75" customHeight="1">
      <c r="J342" s="189"/>
    </row>
    <row r="343" ht="15.75" customHeight="1">
      <c r="J343" s="189"/>
    </row>
    <row r="344" ht="15.75" customHeight="1">
      <c r="J344" s="189"/>
    </row>
    <row r="345" ht="15.75" customHeight="1">
      <c r="J345" s="189"/>
    </row>
    <row r="346" ht="15.75" customHeight="1">
      <c r="J346" s="189"/>
    </row>
    <row r="347" ht="15.75" customHeight="1">
      <c r="J347" s="189"/>
    </row>
    <row r="348" ht="15.75" customHeight="1">
      <c r="J348" s="189"/>
    </row>
    <row r="349" ht="15.75" customHeight="1">
      <c r="J349" s="189"/>
    </row>
    <row r="350" ht="15.75" customHeight="1">
      <c r="J350" s="189"/>
    </row>
    <row r="351" ht="15.75" customHeight="1">
      <c r="J351" s="189"/>
    </row>
    <row r="352" ht="15.75" customHeight="1">
      <c r="J352" s="189"/>
    </row>
    <row r="353" ht="15.75" customHeight="1">
      <c r="J353" s="189"/>
    </row>
    <row r="354" ht="15.75" customHeight="1">
      <c r="J354" s="189"/>
    </row>
    <row r="355" ht="15.75" customHeight="1">
      <c r="J355" s="189"/>
    </row>
    <row r="356" ht="15.75" customHeight="1">
      <c r="J356" s="189"/>
    </row>
    <row r="357" ht="15.75" customHeight="1">
      <c r="J357" s="189"/>
    </row>
    <row r="358" ht="15.75" customHeight="1">
      <c r="J358" s="189"/>
    </row>
    <row r="359" ht="15.75" customHeight="1">
      <c r="J359" s="189"/>
    </row>
    <row r="360" ht="15.75" customHeight="1">
      <c r="J360" s="189"/>
    </row>
    <row r="361" ht="15.75" customHeight="1">
      <c r="J361" s="189"/>
    </row>
    <row r="362" ht="15.75" customHeight="1">
      <c r="J362" s="189"/>
    </row>
    <row r="363" ht="15.75" customHeight="1">
      <c r="J363" s="189"/>
    </row>
    <row r="364" ht="15.75" customHeight="1">
      <c r="J364" s="189"/>
    </row>
    <row r="365" ht="15.75" customHeight="1">
      <c r="J365" s="189"/>
    </row>
    <row r="366" ht="15.75" customHeight="1">
      <c r="J366" s="189"/>
    </row>
    <row r="367" ht="15.75" customHeight="1">
      <c r="J367" s="189"/>
    </row>
    <row r="368" ht="15.75" customHeight="1">
      <c r="J368" s="189"/>
    </row>
    <row r="369" ht="15.75" customHeight="1">
      <c r="J369" s="189"/>
    </row>
    <row r="370" ht="15.75" customHeight="1">
      <c r="J370" s="189"/>
    </row>
    <row r="371" ht="15.75" customHeight="1">
      <c r="J371" s="189"/>
    </row>
    <row r="372" ht="15.75" customHeight="1">
      <c r="J372" s="189"/>
    </row>
    <row r="373" ht="15.75" customHeight="1">
      <c r="J373" s="189"/>
    </row>
    <row r="374" ht="15.75" customHeight="1">
      <c r="J374" s="189"/>
    </row>
    <row r="375" ht="15.75" customHeight="1">
      <c r="J375" s="189"/>
    </row>
    <row r="376" ht="15.75" customHeight="1">
      <c r="J376" s="189"/>
    </row>
    <row r="377" ht="15.75" customHeight="1">
      <c r="J377" s="189"/>
    </row>
    <row r="378" ht="15.75" customHeight="1">
      <c r="J378" s="189"/>
    </row>
    <row r="379" ht="15.75" customHeight="1">
      <c r="J379" s="189"/>
    </row>
    <row r="380" ht="15.75" customHeight="1">
      <c r="J380" s="189"/>
    </row>
    <row r="381" ht="15.75" customHeight="1">
      <c r="J381" s="189"/>
    </row>
    <row r="382" ht="15.75" customHeight="1">
      <c r="J382" s="189"/>
    </row>
    <row r="383" ht="15.75" customHeight="1">
      <c r="J383" s="189"/>
    </row>
    <row r="384" ht="15.75" customHeight="1">
      <c r="J384" s="189"/>
    </row>
    <row r="385" ht="15.75" customHeight="1">
      <c r="J385" s="189"/>
    </row>
    <row r="386" ht="15.75" customHeight="1">
      <c r="J386" s="189"/>
    </row>
    <row r="387" ht="15.75" customHeight="1">
      <c r="J387" s="189"/>
    </row>
    <row r="388" ht="15.75" customHeight="1">
      <c r="J388" s="189"/>
    </row>
    <row r="389" ht="15.75" customHeight="1">
      <c r="J389" s="189"/>
    </row>
    <row r="390" ht="15.75" customHeight="1">
      <c r="J390" s="189"/>
    </row>
    <row r="391" ht="15.75" customHeight="1">
      <c r="J391" s="189"/>
    </row>
    <row r="392" ht="15.75" customHeight="1">
      <c r="J392" s="189"/>
    </row>
    <row r="393" ht="15.75" customHeight="1">
      <c r="J393" s="189"/>
    </row>
    <row r="394" ht="15.75" customHeight="1">
      <c r="J394" s="189"/>
    </row>
    <row r="395" ht="15.75" customHeight="1">
      <c r="J395" s="189"/>
    </row>
    <row r="396" ht="15.75" customHeight="1">
      <c r="J396" s="189"/>
    </row>
    <row r="397" ht="15.75" customHeight="1">
      <c r="J397" s="189"/>
    </row>
    <row r="398" ht="15.75" customHeight="1">
      <c r="J398" s="189"/>
    </row>
    <row r="399" ht="15.75" customHeight="1">
      <c r="J399" s="189"/>
    </row>
    <row r="400" ht="15.75" customHeight="1">
      <c r="J400" s="189"/>
    </row>
    <row r="401" ht="15.75" customHeight="1">
      <c r="J401" s="189"/>
    </row>
    <row r="402" ht="15.75" customHeight="1">
      <c r="J402" s="189"/>
    </row>
    <row r="403" ht="15.75" customHeight="1">
      <c r="J403" s="189"/>
    </row>
    <row r="404" ht="15.75" customHeight="1">
      <c r="J404" s="189"/>
    </row>
    <row r="405" ht="15.75" customHeight="1">
      <c r="J405" s="189"/>
    </row>
    <row r="406" ht="15.75" customHeight="1">
      <c r="J406" s="189"/>
    </row>
    <row r="407" ht="15.75" customHeight="1">
      <c r="J407" s="189"/>
    </row>
    <row r="408" ht="15.75" customHeight="1">
      <c r="J408" s="189"/>
    </row>
    <row r="409" ht="15.75" customHeight="1">
      <c r="J409" s="189"/>
    </row>
    <row r="410" ht="15.75" customHeight="1">
      <c r="J410" s="189"/>
    </row>
    <row r="411" ht="15.75" customHeight="1">
      <c r="J411" s="189"/>
    </row>
    <row r="412" ht="15.75" customHeight="1">
      <c r="J412" s="189"/>
    </row>
    <row r="413" ht="15.75" customHeight="1">
      <c r="J413" s="189"/>
    </row>
    <row r="414" ht="15.75" customHeight="1">
      <c r="J414" s="189"/>
    </row>
    <row r="415" ht="15.75" customHeight="1">
      <c r="J415" s="189"/>
    </row>
    <row r="416" ht="15.75" customHeight="1">
      <c r="J416" s="189"/>
    </row>
    <row r="417" ht="15.75" customHeight="1">
      <c r="J417" s="189"/>
    </row>
    <row r="418" ht="15.75" customHeight="1">
      <c r="J418" s="189"/>
    </row>
    <row r="419" ht="15.75" customHeight="1">
      <c r="J419" s="189"/>
    </row>
    <row r="420" ht="15.75" customHeight="1">
      <c r="J420" s="189"/>
    </row>
    <row r="421" ht="15.75" customHeight="1">
      <c r="J421" s="189"/>
    </row>
    <row r="422" ht="15.75" customHeight="1">
      <c r="J422" s="189"/>
    </row>
    <row r="423" ht="15.75" customHeight="1">
      <c r="J423" s="189"/>
    </row>
    <row r="424" ht="15.75" customHeight="1">
      <c r="J424" s="189"/>
    </row>
    <row r="425" ht="15.75" customHeight="1">
      <c r="J425" s="189"/>
    </row>
    <row r="426" ht="15.75" customHeight="1">
      <c r="J426" s="189"/>
    </row>
    <row r="427" ht="15.75" customHeight="1">
      <c r="J427" s="189"/>
    </row>
    <row r="428" ht="15.75" customHeight="1">
      <c r="J428" s="189"/>
    </row>
    <row r="429" ht="15.75" customHeight="1">
      <c r="J429" s="189"/>
    </row>
    <row r="430" ht="15.75" customHeight="1">
      <c r="J430" s="189"/>
    </row>
    <row r="431" ht="15.75" customHeight="1">
      <c r="J431" s="189"/>
    </row>
    <row r="432" ht="15.75" customHeight="1">
      <c r="J432" s="189"/>
    </row>
    <row r="433" ht="15.75" customHeight="1">
      <c r="J433" s="189"/>
    </row>
    <row r="434" ht="15.75" customHeight="1">
      <c r="J434" s="189"/>
    </row>
    <row r="435" ht="15.75" customHeight="1">
      <c r="J435" s="189"/>
    </row>
    <row r="436" ht="15.75" customHeight="1">
      <c r="J436" s="189"/>
    </row>
    <row r="437" ht="15.75" customHeight="1">
      <c r="J437" s="189"/>
    </row>
    <row r="438" ht="15.75" customHeight="1">
      <c r="J438" s="189"/>
    </row>
    <row r="439" ht="15.75" customHeight="1">
      <c r="J439" s="189"/>
    </row>
    <row r="440" ht="15.75" customHeight="1">
      <c r="J440" s="189"/>
    </row>
    <row r="441" ht="15.75" customHeight="1">
      <c r="J441" s="189"/>
    </row>
    <row r="442" ht="15.75" customHeight="1">
      <c r="J442" s="189"/>
    </row>
    <row r="443" ht="15.75" customHeight="1">
      <c r="J443" s="189"/>
    </row>
    <row r="444" ht="15.75" customHeight="1">
      <c r="J444" s="189"/>
    </row>
    <row r="445" ht="15.75" customHeight="1">
      <c r="J445" s="189"/>
    </row>
    <row r="446" ht="15.75" customHeight="1">
      <c r="J446" s="189"/>
    </row>
    <row r="447" ht="15.75" customHeight="1">
      <c r="J447" s="189"/>
    </row>
    <row r="448" ht="15.75" customHeight="1">
      <c r="J448" s="189"/>
    </row>
    <row r="449" ht="15.75" customHeight="1">
      <c r="J449" s="189"/>
    </row>
    <row r="450" ht="15.75" customHeight="1">
      <c r="J450" s="189"/>
    </row>
    <row r="451" ht="15.75" customHeight="1">
      <c r="J451" s="189"/>
    </row>
    <row r="452" ht="15.75" customHeight="1">
      <c r="J452" s="189"/>
    </row>
    <row r="453" ht="15.75" customHeight="1">
      <c r="J453" s="189"/>
    </row>
    <row r="454" ht="15.75" customHeight="1">
      <c r="J454" s="189"/>
    </row>
    <row r="455" ht="15.75" customHeight="1">
      <c r="J455" s="189"/>
    </row>
    <row r="456" ht="15.75" customHeight="1">
      <c r="J456" s="189"/>
    </row>
    <row r="457" ht="15.75" customHeight="1">
      <c r="J457" s="189"/>
    </row>
    <row r="458" ht="15.75" customHeight="1">
      <c r="J458" s="189"/>
    </row>
    <row r="459" ht="15.75" customHeight="1">
      <c r="J459" s="189"/>
    </row>
    <row r="460" ht="15.75" customHeight="1">
      <c r="J460" s="189"/>
    </row>
    <row r="461" ht="15.75" customHeight="1">
      <c r="J461" s="189"/>
    </row>
    <row r="462" ht="15.75" customHeight="1">
      <c r="J462" s="189"/>
    </row>
    <row r="463" ht="15.75" customHeight="1">
      <c r="J463" s="189"/>
    </row>
    <row r="464" ht="15.75" customHeight="1">
      <c r="J464" s="189"/>
    </row>
    <row r="465" ht="15.75" customHeight="1">
      <c r="J465" s="189"/>
    </row>
    <row r="466" ht="15.75" customHeight="1">
      <c r="J466" s="189"/>
    </row>
    <row r="467" ht="15.75" customHeight="1">
      <c r="J467" s="189"/>
    </row>
    <row r="468" ht="15.75" customHeight="1">
      <c r="J468" s="189"/>
    </row>
    <row r="469" ht="15.75" customHeight="1">
      <c r="J469" s="189"/>
    </row>
    <row r="470" ht="15.75" customHeight="1">
      <c r="J470" s="189"/>
    </row>
    <row r="471" ht="15.75" customHeight="1">
      <c r="J471" s="189"/>
    </row>
    <row r="472" ht="15.75" customHeight="1">
      <c r="J472" s="189"/>
    </row>
    <row r="473" ht="15.75" customHeight="1">
      <c r="J473" s="189"/>
    </row>
    <row r="474" ht="15.75" customHeight="1">
      <c r="J474" s="189"/>
    </row>
    <row r="475" ht="15.75" customHeight="1">
      <c r="J475" s="189"/>
    </row>
    <row r="476" ht="15.75" customHeight="1">
      <c r="J476" s="189"/>
    </row>
    <row r="477" ht="15.75" customHeight="1">
      <c r="J477" s="189"/>
    </row>
    <row r="478" ht="15.75" customHeight="1">
      <c r="J478" s="189"/>
    </row>
    <row r="479" ht="15.75" customHeight="1">
      <c r="J479" s="189"/>
    </row>
    <row r="480" ht="15.75" customHeight="1">
      <c r="J480" s="189"/>
    </row>
    <row r="481" ht="15.75" customHeight="1">
      <c r="J481" s="189"/>
    </row>
    <row r="482" ht="15.75" customHeight="1">
      <c r="J482" s="189"/>
    </row>
    <row r="483" ht="15.75" customHeight="1">
      <c r="J483" s="189"/>
    </row>
    <row r="484" ht="15.75" customHeight="1">
      <c r="J484" s="189"/>
    </row>
    <row r="485" ht="15.75" customHeight="1">
      <c r="J485" s="189"/>
    </row>
    <row r="486" ht="15.75" customHeight="1">
      <c r="J486" s="189"/>
    </row>
    <row r="487" ht="15.75" customHeight="1">
      <c r="J487" s="189"/>
    </row>
    <row r="488" ht="15.75" customHeight="1">
      <c r="J488" s="189"/>
    </row>
    <row r="489" ht="15.75" customHeight="1">
      <c r="J489" s="189"/>
    </row>
    <row r="490" ht="15.75" customHeight="1">
      <c r="J490" s="189"/>
    </row>
    <row r="491" ht="15.75" customHeight="1">
      <c r="J491" s="189"/>
    </row>
    <row r="492" ht="15.75" customHeight="1">
      <c r="J492" s="189"/>
    </row>
    <row r="493" ht="15.75" customHeight="1">
      <c r="J493" s="189"/>
    </row>
    <row r="494" ht="15.75" customHeight="1">
      <c r="J494" s="189"/>
    </row>
    <row r="495" ht="15.75" customHeight="1">
      <c r="J495" s="189"/>
    </row>
    <row r="496" ht="15.75" customHeight="1">
      <c r="J496" s="189"/>
    </row>
    <row r="497" ht="15.75" customHeight="1">
      <c r="J497" s="189"/>
    </row>
    <row r="498" ht="15.75" customHeight="1">
      <c r="J498" s="189"/>
    </row>
    <row r="499" ht="15.75" customHeight="1">
      <c r="J499" s="189"/>
    </row>
    <row r="500" ht="15.75" customHeight="1">
      <c r="J500" s="189"/>
    </row>
    <row r="501" ht="15.75" customHeight="1">
      <c r="J501" s="189"/>
    </row>
    <row r="502" ht="15.75" customHeight="1">
      <c r="J502" s="189"/>
    </row>
    <row r="503" ht="15.75" customHeight="1">
      <c r="J503" s="189"/>
    </row>
    <row r="504" ht="15.75" customHeight="1">
      <c r="J504" s="189"/>
    </row>
    <row r="505" ht="15.75" customHeight="1">
      <c r="J505" s="189"/>
    </row>
    <row r="506" ht="15.75" customHeight="1">
      <c r="J506" s="189"/>
    </row>
    <row r="507" ht="15.75" customHeight="1">
      <c r="J507" s="189"/>
    </row>
    <row r="508" ht="15.75" customHeight="1">
      <c r="J508" s="189"/>
    </row>
    <row r="509" ht="15.75" customHeight="1">
      <c r="J509" s="189"/>
    </row>
    <row r="510" ht="15.75" customHeight="1">
      <c r="J510" s="189"/>
    </row>
    <row r="511" ht="15.75" customHeight="1">
      <c r="J511" s="189"/>
    </row>
    <row r="512" ht="15.75" customHeight="1">
      <c r="J512" s="189"/>
    </row>
    <row r="513" ht="15.75" customHeight="1">
      <c r="J513" s="189"/>
    </row>
    <row r="514" ht="15.75" customHeight="1">
      <c r="J514" s="189"/>
    </row>
    <row r="515" ht="15.75" customHeight="1">
      <c r="J515" s="189"/>
    </row>
    <row r="516" ht="15.75" customHeight="1">
      <c r="J516" s="189"/>
    </row>
    <row r="517" ht="15.75" customHeight="1">
      <c r="J517" s="189"/>
    </row>
    <row r="518" ht="15.75" customHeight="1">
      <c r="J518" s="189"/>
    </row>
    <row r="519" ht="15.75" customHeight="1">
      <c r="J519" s="189"/>
    </row>
    <row r="520" ht="15.75" customHeight="1">
      <c r="J520" s="189"/>
    </row>
    <row r="521" ht="15.75" customHeight="1">
      <c r="J521" s="189"/>
    </row>
    <row r="522" ht="15.75" customHeight="1">
      <c r="J522" s="189"/>
    </row>
    <row r="523" ht="15.75" customHeight="1">
      <c r="J523" s="189"/>
    </row>
    <row r="524" ht="15.75" customHeight="1">
      <c r="J524" s="189"/>
    </row>
    <row r="525" ht="15.75" customHeight="1">
      <c r="J525" s="189"/>
    </row>
    <row r="526" ht="15.75" customHeight="1">
      <c r="J526" s="189"/>
    </row>
    <row r="527" ht="15.75" customHeight="1">
      <c r="J527" s="189"/>
    </row>
    <row r="528" ht="15.75" customHeight="1">
      <c r="J528" s="189"/>
    </row>
    <row r="529" ht="15.75" customHeight="1">
      <c r="J529" s="189"/>
    </row>
    <row r="530" ht="15.75" customHeight="1">
      <c r="J530" s="189"/>
    </row>
    <row r="531" ht="15.75" customHeight="1">
      <c r="J531" s="189"/>
    </row>
    <row r="532" ht="15.75" customHeight="1">
      <c r="J532" s="189"/>
    </row>
    <row r="533" ht="15.75" customHeight="1">
      <c r="J533" s="189"/>
    </row>
    <row r="534" ht="15.75" customHeight="1">
      <c r="J534" s="189"/>
    </row>
    <row r="535" ht="15.75" customHeight="1">
      <c r="J535" s="189"/>
    </row>
    <row r="536" ht="15.75" customHeight="1">
      <c r="J536" s="189"/>
    </row>
    <row r="537" ht="15.75" customHeight="1">
      <c r="J537" s="189"/>
    </row>
    <row r="538" ht="15.75" customHeight="1">
      <c r="J538" s="189"/>
    </row>
    <row r="539" ht="15.75" customHeight="1">
      <c r="J539" s="189"/>
    </row>
    <row r="540" ht="15.75" customHeight="1">
      <c r="J540" s="189"/>
    </row>
    <row r="541" ht="15.75" customHeight="1">
      <c r="J541" s="189"/>
    </row>
    <row r="542" ht="15.75" customHeight="1">
      <c r="J542" s="189"/>
    </row>
    <row r="543" ht="15.75" customHeight="1">
      <c r="J543" s="189"/>
    </row>
    <row r="544" ht="15.75" customHeight="1">
      <c r="J544" s="189"/>
    </row>
    <row r="545" ht="15.75" customHeight="1">
      <c r="J545" s="189"/>
    </row>
    <row r="546" ht="15.75" customHeight="1">
      <c r="J546" s="189"/>
    </row>
    <row r="547" ht="15.75" customHeight="1">
      <c r="J547" s="189"/>
    </row>
    <row r="548" ht="15.75" customHeight="1">
      <c r="J548" s="189"/>
    </row>
    <row r="549" ht="15.75" customHeight="1">
      <c r="J549" s="189"/>
    </row>
    <row r="550" ht="15.75" customHeight="1">
      <c r="J550" s="189"/>
    </row>
    <row r="551" ht="15.75" customHeight="1">
      <c r="J551" s="189"/>
    </row>
    <row r="552" ht="15.75" customHeight="1">
      <c r="J552" s="189"/>
    </row>
    <row r="553" ht="15.75" customHeight="1">
      <c r="J553" s="189"/>
    </row>
    <row r="554" ht="15.75" customHeight="1">
      <c r="J554" s="189"/>
    </row>
    <row r="555" ht="15.75" customHeight="1">
      <c r="J555" s="189"/>
    </row>
    <row r="556" ht="15.75" customHeight="1">
      <c r="J556" s="189"/>
    </row>
    <row r="557" ht="15.75" customHeight="1">
      <c r="J557" s="189"/>
    </row>
    <row r="558" ht="15.75" customHeight="1">
      <c r="J558" s="189"/>
    </row>
    <row r="559" ht="15.75" customHeight="1">
      <c r="J559" s="189"/>
    </row>
    <row r="560" ht="15.75" customHeight="1">
      <c r="J560" s="189"/>
    </row>
    <row r="561" ht="15.75" customHeight="1">
      <c r="J561" s="189"/>
    </row>
    <row r="562" ht="15.75" customHeight="1">
      <c r="J562" s="189"/>
    </row>
    <row r="563" ht="15.75" customHeight="1">
      <c r="J563" s="189"/>
    </row>
    <row r="564" ht="15.75" customHeight="1">
      <c r="J564" s="189"/>
    </row>
    <row r="565" ht="15.75" customHeight="1">
      <c r="J565" s="189"/>
    </row>
    <row r="566" ht="15.75" customHeight="1">
      <c r="J566" s="189"/>
    </row>
    <row r="567" ht="15.75" customHeight="1">
      <c r="J567" s="189"/>
    </row>
    <row r="568" ht="15.75" customHeight="1">
      <c r="J568" s="189"/>
    </row>
    <row r="569" ht="15.75" customHeight="1">
      <c r="J569" s="189"/>
    </row>
    <row r="570" ht="15.75" customHeight="1">
      <c r="J570" s="189"/>
    </row>
    <row r="571" ht="15.75" customHeight="1">
      <c r="J571" s="189"/>
    </row>
    <row r="572" ht="15.75" customHeight="1">
      <c r="J572" s="189"/>
    </row>
    <row r="573" ht="15.75" customHeight="1">
      <c r="J573" s="189"/>
    </row>
    <row r="574" ht="15.75" customHeight="1">
      <c r="J574" s="189"/>
    </row>
    <row r="575" ht="15.75" customHeight="1">
      <c r="J575" s="189"/>
    </row>
    <row r="576" ht="15.75" customHeight="1">
      <c r="J576" s="189"/>
    </row>
    <row r="577" ht="15.75" customHeight="1">
      <c r="J577" s="189"/>
    </row>
    <row r="578" ht="15.75" customHeight="1">
      <c r="J578" s="189"/>
    </row>
    <row r="579" ht="15.75" customHeight="1">
      <c r="J579" s="189"/>
    </row>
    <row r="580" ht="15.75" customHeight="1">
      <c r="J580" s="189"/>
    </row>
    <row r="581" ht="15.75" customHeight="1">
      <c r="J581" s="189"/>
    </row>
    <row r="582" ht="15.75" customHeight="1">
      <c r="J582" s="189"/>
    </row>
    <row r="583" ht="15.75" customHeight="1">
      <c r="J583" s="189"/>
    </row>
    <row r="584" ht="15.75" customHeight="1">
      <c r="J584" s="189"/>
    </row>
    <row r="585" ht="15.75" customHeight="1">
      <c r="J585" s="189"/>
    </row>
    <row r="586" ht="15.75" customHeight="1">
      <c r="J586" s="189"/>
    </row>
    <row r="587" ht="15.75" customHeight="1">
      <c r="J587" s="189"/>
    </row>
    <row r="588" ht="15.75" customHeight="1">
      <c r="J588" s="189"/>
    </row>
    <row r="589" ht="15.75" customHeight="1">
      <c r="J589" s="189"/>
    </row>
    <row r="590" ht="15.75" customHeight="1">
      <c r="J590" s="189"/>
    </row>
    <row r="591" ht="15.75" customHeight="1">
      <c r="J591" s="189"/>
    </row>
    <row r="592" ht="15.75" customHeight="1">
      <c r="J592" s="189"/>
    </row>
    <row r="593" ht="15.75" customHeight="1">
      <c r="J593" s="189"/>
    </row>
    <row r="594" ht="15.75" customHeight="1">
      <c r="J594" s="189"/>
    </row>
    <row r="595" ht="15.75" customHeight="1">
      <c r="J595" s="189"/>
    </row>
    <row r="596" ht="15.75" customHeight="1">
      <c r="J596" s="189"/>
    </row>
    <row r="597" ht="15.75" customHeight="1">
      <c r="J597" s="189"/>
    </row>
    <row r="598" ht="15.75" customHeight="1">
      <c r="J598" s="189"/>
    </row>
    <row r="599" ht="15.75" customHeight="1">
      <c r="J599" s="189"/>
    </row>
    <row r="600" ht="15.75" customHeight="1">
      <c r="J600" s="189"/>
    </row>
    <row r="601" ht="15.75" customHeight="1">
      <c r="J601" s="189"/>
    </row>
    <row r="602" ht="15.75" customHeight="1">
      <c r="J602" s="189"/>
    </row>
    <row r="603" ht="15.75" customHeight="1">
      <c r="J603" s="189"/>
    </row>
    <row r="604" ht="15.75" customHeight="1">
      <c r="J604" s="189"/>
    </row>
    <row r="605" ht="15.75" customHeight="1">
      <c r="J605" s="189"/>
    </row>
    <row r="606" ht="15.75" customHeight="1">
      <c r="J606" s="189"/>
    </row>
    <row r="607" ht="15.75" customHeight="1">
      <c r="J607" s="189"/>
    </row>
    <row r="608" ht="15.75" customHeight="1">
      <c r="J608" s="189"/>
    </row>
    <row r="609" ht="15.75" customHeight="1">
      <c r="J609" s="189"/>
    </row>
    <row r="610" ht="15.75" customHeight="1">
      <c r="J610" s="189"/>
    </row>
    <row r="611" ht="15.75" customHeight="1">
      <c r="J611" s="189"/>
    </row>
    <row r="612" ht="15.75" customHeight="1">
      <c r="J612" s="189"/>
    </row>
    <row r="613" ht="15.75" customHeight="1">
      <c r="J613" s="189"/>
    </row>
    <row r="614" ht="15.75" customHeight="1">
      <c r="J614" s="189"/>
    </row>
    <row r="615" ht="15.75" customHeight="1">
      <c r="J615" s="189"/>
    </row>
    <row r="616" ht="15.75" customHeight="1">
      <c r="J616" s="189"/>
    </row>
    <row r="617" ht="15.75" customHeight="1">
      <c r="J617" s="189"/>
    </row>
    <row r="618" ht="15.75" customHeight="1">
      <c r="J618" s="189"/>
    </row>
    <row r="619" ht="15.75" customHeight="1">
      <c r="J619" s="189"/>
    </row>
    <row r="620" ht="15.75" customHeight="1">
      <c r="J620" s="189"/>
    </row>
    <row r="621" ht="15.75" customHeight="1">
      <c r="J621" s="189"/>
    </row>
    <row r="622" ht="15.75" customHeight="1">
      <c r="J622" s="189"/>
    </row>
    <row r="623" ht="15.75" customHeight="1">
      <c r="J623" s="189"/>
    </row>
    <row r="624" ht="15.75" customHeight="1">
      <c r="J624" s="189"/>
    </row>
    <row r="625" ht="15.75" customHeight="1">
      <c r="J625" s="189"/>
    </row>
    <row r="626" ht="15.75" customHeight="1">
      <c r="J626" s="189"/>
    </row>
    <row r="627" ht="15.75" customHeight="1">
      <c r="J627" s="189"/>
    </row>
    <row r="628" ht="15.75" customHeight="1">
      <c r="J628" s="189"/>
    </row>
    <row r="629" ht="15.75" customHeight="1">
      <c r="J629" s="189"/>
    </row>
    <row r="630" ht="15.75" customHeight="1">
      <c r="J630" s="189"/>
    </row>
    <row r="631" ht="15.75" customHeight="1">
      <c r="J631" s="189"/>
    </row>
    <row r="632" ht="15.75" customHeight="1">
      <c r="J632" s="189"/>
    </row>
    <row r="633" ht="15.75" customHeight="1">
      <c r="J633" s="189"/>
    </row>
    <row r="634" ht="15.75" customHeight="1">
      <c r="J634" s="189"/>
    </row>
    <row r="635" ht="15.75" customHeight="1">
      <c r="J635" s="189"/>
    </row>
    <row r="636" ht="15.75" customHeight="1">
      <c r="J636" s="189"/>
    </row>
    <row r="637" ht="15.75" customHeight="1">
      <c r="J637" s="189"/>
    </row>
    <row r="638" ht="15.75" customHeight="1">
      <c r="J638" s="189"/>
    </row>
    <row r="639" ht="15.75" customHeight="1">
      <c r="J639" s="189"/>
    </row>
    <row r="640" ht="15.75" customHeight="1">
      <c r="J640" s="189"/>
    </row>
    <row r="641" ht="15.75" customHeight="1">
      <c r="J641" s="189"/>
    </row>
    <row r="642" ht="15.75" customHeight="1">
      <c r="J642" s="189"/>
    </row>
    <row r="643" ht="15.75" customHeight="1">
      <c r="J643" s="189"/>
    </row>
    <row r="644" ht="15.75" customHeight="1">
      <c r="J644" s="189"/>
    </row>
    <row r="645" ht="15.75" customHeight="1">
      <c r="J645" s="189"/>
    </row>
    <row r="646" ht="15.75" customHeight="1">
      <c r="J646" s="189"/>
    </row>
    <row r="647" ht="15.75" customHeight="1">
      <c r="J647" s="189"/>
    </row>
    <row r="648" ht="15.75" customHeight="1">
      <c r="J648" s="189"/>
    </row>
    <row r="649" ht="15.75" customHeight="1">
      <c r="J649" s="189"/>
    </row>
    <row r="650" ht="15.75" customHeight="1">
      <c r="J650" s="189"/>
    </row>
    <row r="651" ht="15.75" customHeight="1">
      <c r="J651" s="189"/>
    </row>
    <row r="652" ht="15.75" customHeight="1">
      <c r="J652" s="189"/>
    </row>
    <row r="653" ht="15.75" customHeight="1">
      <c r="J653" s="189"/>
    </row>
    <row r="654" ht="15.75" customHeight="1">
      <c r="J654" s="189"/>
    </row>
    <row r="655" ht="15.75" customHeight="1">
      <c r="J655" s="189"/>
    </row>
    <row r="656" ht="15.75" customHeight="1">
      <c r="J656" s="189"/>
    </row>
    <row r="657" ht="15.75" customHeight="1">
      <c r="J657" s="189"/>
    </row>
    <row r="658" ht="15.75" customHeight="1">
      <c r="J658" s="189"/>
    </row>
    <row r="659" ht="15.75" customHeight="1">
      <c r="J659" s="189"/>
    </row>
    <row r="660" ht="15.75" customHeight="1">
      <c r="J660" s="189"/>
    </row>
    <row r="661" ht="15.75" customHeight="1">
      <c r="J661" s="189"/>
    </row>
    <row r="662" ht="15.75" customHeight="1">
      <c r="J662" s="189"/>
    </row>
    <row r="663" ht="15.75" customHeight="1">
      <c r="J663" s="189"/>
    </row>
    <row r="664" ht="15.75" customHeight="1">
      <c r="J664" s="189"/>
    </row>
    <row r="665" ht="15.75" customHeight="1">
      <c r="J665" s="189"/>
    </row>
    <row r="666" ht="15.75" customHeight="1">
      <c r="J666" s="189"/>
    </row>
    <row r="667" ht="15.75" customHeight="1">
      <c r="J667" s="189"/>
    </row>
    <row r="668" ht="15.75" customHeight="1">
      <c r="J668" s="189"/>
    </row>
    <row r="669" ht="15.75" customHeight="1">
      <c r="J669" s="189"/>
    </row>
    <row r="670" ht="15.75" customHeight="1">
      <c r="J670" s="189"/>
    </row>
    <row r="671" ht="15.75" customHeight="1">
      <c r="J671" s="189"/>
    </row>
    <row r="672" ht="15.75" customHeight="1">
      <c r="J672" s="189"/>
    </row>
    <row r="673" ht="15.75" customHeight="1">
      <c r="J673" s="189"/>
    </row>
    <row r="674" ht="15.75" customHeight="1">
      <c r="J674" s="189"/>
    </row>
    <row r="675" ht="15.75" customHeight="1">
      <c r="J675" s="189"/>
    </row>
    <row r="676" ht="15.75" customHeight="1">
      <c r="J676" s="189"/>
    </row>
    <row r="677" ht="15.75" customHeight="1">
      <c r="J677" s="189"/>
    </row>
    <row r="678" ht="15.75" customHeight="1">
      <c r="J678" s="189"/>
    </row>
    <row r="679" ht="15.75" customHeight="1">
      <c r="J679" s="189"/>
    </row>
    <row r="680" ht="15.75" customHeight="1">
      <c r="J680" s="189"/>
    </row>
    <row r="681" ht="15.75" customHeight="1">
      <c r="J681" s="189"/>
    </row>
    <row r="682" ht="15.75" customHeight="1">
      <c r="J682" s="189"/>
    </row>
    <row r="683" ht="15.75" customHeight="1">
      <c r="J683" s="189"/>
    </row>
    <row r="684" ht="15.75" customHeight="1">
      <c r="J684" s="189"/>
    </row>
    <row r="685" ht="15.75" customHeight="1">
      <c r="J685" s="189"/>
    </row>
    <row r="686" ht="15.75" customHeight="1">
      <c r="J686" s="189"/>
    </row>
    <row r="687" ht="15.75" customHeight="1">
      <c r="J687" s="189"/>
    </row>
    <row r="688" ht="15.75" customHeight="1">
      <c r="J688" s="189"/>
    </row>
    <row r="689" ht="15.75" customHeight="1">
      <c r="J689" s="189"/>
    </row>
    <row r="690" ht="15.75" customHeight="1">
      <c r="J690" s="189"/>
    </row>
    <row r="691" ht="15.75" customHeight="1">
      <c r="J691" s="189"/>
    </row>
    <row r="692" ht="15.75" customHeight="1">
      <c r="J692" s="189"/>
    </row>
    <row r="693" ht="15.75" customHeight="1">
      <c r="J693" s="189"/>
    </row>
    <row r="694" ht="15.75" customHeight="1">
      <c r="J694" s="189"/>
    </row>
    <row r="695" ht="15.75" customHeight="1">
      <c r="J695" s="189"/>
    </row>
    <row r="696" ht="15.75" customHeight="1">
      <c r="J696" s="189"/>
    </row>
    <row r="697" ht="15.75" customHeight="1">
      <c r="J697" s="189"/>
    </row>
    <row r="698" ht="15.75" customHeight="1">
      <c r="J698" s="189"/>
    </row>
    <row r="699" ht="15.75" customHeight="1">
      <c r="J699" s="189"/>
    </row>
    <row r="700" ht="15.75" customHeight="1">
      <c r="J700" s="189"/>
    </row>
    <row r="701" ht="15.75" customHeight="1">
      <c r="J701" s="189"/>
    </row>
    <row r="702" ht="15.75" customHeight="1">
      <c r="J702" s="189"/>
    </row>
    <row r="703" ht="15.75" customHeight="1">
      <c r="J703" s="189"/>
    </row>
    <row r="704" ht="15.75" customHeight="1">
      <c r="J704" s="189"/>
    </row>
    <row r="705" ht="15.75" customHeight="1">
      <c r="J705" s="189"/>
    </row>
    <row r="706" ht="15.75" customHeight="1">
      <c r="J706" s="189"/>
    </row>
    <row r="707" ht="15.75" customHeight="1">
      <c r="J707" s="189"/>
    </row>
    <row r="708" ht="15.75" customHeight="1">
      <c r="J708" s="189"/>
    </row>
    <row r="709" ht="15.75" customHeight="1">
      <c r="J709" s="189"/>
    </row>
    <row r="710" ht="15.75" customHeight="1">
      <c r="J710" s="189"/>
    </row>
    <row r="711" ht="15.75" customHeight="1">
      <c r="J711" s="189"/>
    </row>
    <row r="712" ht="15.75" customHeight="1">
      <c r="J712" s="189"/>
    </row>
    <row r="713" ht="15.75" customHeight="1">
      <c r="J713" s="189"/>
    </row>
    <row r="714" ht="15.75" customHeight="1">
      <c r="J714" s="189"/>
    </row>
    <row r="715" ht="15.75" customHeight="1">
      <c r="J715" s="189"/>
    </row>
    <row r="716" ht="15.75" customHeight="1">
      <c r="J716" s="189"/>
    </row>
    <row r="717" ht="15.75" customHeight="1">
      <c r="J717" s="189"/>
    </row>
    <row r="718" ht="15.75" customHeight="1">
      <c r="J718" s="189"/>
    </row>
    <row r="719" ht="15.75" customHeight="1">
      <c r="J719" s="189"/>
    </row>
    <row r="720" ht="15.75" customHeight="1">
      <c r="J720" s="189"/>
    </row>
    <row r="721" ht="15.75" customHeight="1">
      <c r="J721" s="189"/>
    </row>
    <row r="722" ht="15.75" customHeight="1">
      <c r="J722" s="189"/>
    </row>
    <row r="723" ht="15.75" customHeight="1">
      <c r="J723" s="189"/>
    </row>
    <row r="724" ht="15.75" customHeight="1">
      <c r="J724" s="189"/>
    </row>
    <row r="725" ht="15.75" customHeight="1">
      <c r="J725" s="189"/>
    </row>
    <row r="726" ht="15.75" customHeight="1">
      <c r="J726" s="189"/>
    </row>
    <row r="727" ht="15.75" customHeight="1">
      <c r="J727" s="189"/>
    </row>
    <row r="728" ht="15.75" customHeight="1">
      <c r="J728" s="189"/>
    </row>
    <row r="729" ht="15.75" customHeight="1">
      <c r="J729" s="189"/>
    </row>
    <row r="730" ht="15.75" customHeight="1">
      <c r="J730" s="189"/>
    </row>
    <row r="731" ht="15.75" customHeight="1">
      <c r="J731" s="189"/>
    </row>
    <row r="732" ht="15.75" customHeight="1">
      <c r="J732" s="189"/>
    </row>
    <row r="733" ht="15.75" customHeight="1">
      <c r="J733" s="189"/>
    </row>
    <row r="734" ht="15.75" customHeight="1">
      <c r="J734" s="189"/>
    </row>
    <row r="735" ht="15.75" customHeight="1">
      <c r="J735" s="189"/>
    </row>
    <row r="736" ht="15.75" customHeight="1">
      <c r="J736" s="189"/>
    </row>
    <row r="737" ht="15.75" customHeight="1">
      <c r="J737" s="189"/>
    </row>
    <row r="738" ht="15.75" customHeight="1">
      <c r="J738" s="189"/>
    </row>
    <row r="739" ht="15.75" customHeight="1">
      <c r="J739" s="189"/>
    </row>
    <row r="740" ht="15.75" customHeight="1">
      <c r="J740" s="189"/>
    </row>
    <row r="741" ht="15.75" customHeight="1">
      <c r="J741" s="189"/>
    </row>
    <row r="742" ht="15.75" customHeight="1">
      <c r="J742" s="189"/>
    </row>
    <row r="743" ht="15.75" customHeight="1">
      <c r="J743" s="189"/>
    </row>
    <row r="744" ht="15.75" customHeight="1">
      <c r="J744" s="189"/>
    </row>
    <row r="745" ht="15.75" customHeight="1">
      <c r="J745" s="189"/>
    </row>
    <row r="746" ht="15.75" customHeight="1">
      <c r="J746" s="189"/>
    </row>
    <row r="747" ht="15.75" customHeight="1">
      <c r="J747" s="189"/>
    </row>
    <row r="748" ht="15.75" customHeight="1">
      <c r="J748" s="189"/>
    </row>
    <row r="749" ht="15.75" customHeight="1">
      <c r="J749" s="189"/>
    </row>
    <row r="750" ht="15.75" customHeight="1">
      <c r="J750" s="189"/>
    </row>
    <row r="751" ht="15.75" customHeight="1">
      <c r="J751" s="189"/>
    </row>
    <row r="752" ht="15.75" customHeight="1">
      <c r="J752" s="189"/>
    </row>
    <row r="753" ht="15.75" customHeight="1">
      <c r="J753" s="189"/>
    </row>
    <row r="754" ht="15.75" customHeight="1">
      <c r="J754" s="189"/>
    </row>
    <row r="755" ht="15.75" customHeight="1">
      <c r="J755" s="189"/>
    </row>
    <row r="756" ht="15.75" customHeight="1">
      <c r="J756" s="189"/>
    </row>
    <row r="757" ht="15.75" customHeight="1">
      <c r="J757" s="189"/>
    </row>
    <row r="758" ht="15.75" customHeight="1">
      <c r="J758" s="189"/>
    </row>
    <row r="759" ht="15.75" customHeight="1">
      <c r="J759" s="189"/>
    </row>
    <row r="760" ht="15.75" customHeight="1">
      <c r="J760" s="189"/>
    </row>
    <row r="761" ht="15.75" customHeight="1">
      <c r="J761" s="189"/>
    </row>
    <row r="762" ht="15.75" customHeight="1">
      <c r="J762" s="189"/>
    </row>
    <row r="763" ht="15.75" customHeight="1">
      <c r="J763" s="189"/>
    </row>
    <row r="764" ht="15.75" customHeight="1">
      <c r="J764" s="189"/>
    </row>
    <row r="765" ht="15.75" customHeight="1">
      <c r="J765" s="189"/>
    </row>
    <row r="766" ht="15.75" customHeight="1">
      <c r="J766" s="189"/>
    </row>
    <row r="767" ht="15.75" customHeight="1">
      <c r="J767" s="189"/>
    </row>
    <row r="768" ht="15.75" customHeight="1">
      <c r="J768" s="189"/>
    </row>
    <row r="769" ht="15.75" customHeight="1">
      <c r="J769" s="189"/>
    </row>
    <row r="770" ht="15.75" customHeight="1">
      <c r="J770" s="189"/>
    </row>
    <row r="771" ht="15.75" customHeight="1">
      <c r="J771" s="189"/>
    </row>
    <row r="772" ht="15.75" customHeight="1">
      <c r="J772" s="189"/>
    </row>
    <row r="773" ht="15.75" customHeight="1">
      <c r="J773" s="189"/>
    </row>
    <row r="774" ht="15.75" customHeight="1">
      <c r="J774" s="189"/>
    </row>
    <row r="775" ht="15.75" customHeight="1">
      <c r="J775" s="189"/>
    </row>
    <row r="776" ht="15.75" customHeight="1">
      <c r="J776" s="189"/>
    </row>
    <row r="777" ht="15.75" customHeight="1">
      <c r="J777" s="189"/>
    </row>
    <row r="778" ht="15.75" customHeight="1">
      <c r="J778" s="189"/>
    </row>
    <row r="779" ht="15.75" customHeight="1">
      <c r="J779" s="189"/>
    </row>
    <row r="780" ht="15.75" customHeight="1">
      <c r="J780" s="189"/>
    </row>
    <row r="781" ht="15.75" customHeight="1">
      <c r="J781" s="189"/>
    </row>
    <row r="782" ht="15.75" customHeight="1">
      <c r="J782" s="189"/>
    </row>
    <row r="783" ht="15.75" customHeight="1">
      <c r="J783" s="189"/>
    </row>
    <row r="784" ht="15.75" customHeight="1">
      <c r="J784" s="189"/>
    </row>
    <row r="785" ht="15.75" customHeight="1">
      <c r="J785" s="189"/>
    </row>
    <row r="786" ht="15.75" customHeight="1">
      <c r="J786" s="189"/>
    </row>
    <row r="787" ht="15.75" customHeight="1">
      <c r="J787" s="189"/>
    </row>
    <row r="788" ht="15.75" customHeight="1">
      <c r="J788" s="189"/>
    </row>
    <row r="789" ht="15.75" customHeight="1">
      <c r="J789" s="189"/>
    </row>
    <row r="790" ht="15.75" customHeight="1">
      <c r="J790" s="189"/>
    </row>
    <row r="791" ht="15.75" customHeight="1">
      <c r="J791" s="189"/>
    </row>
    <row r="792" ht="15.75" customHeight="1">
      <c r="J792" s="189"/>
    </row>
    <row r="793" ht="15.75" customHeight="1">
      <c r="J793" s="189"/>
    </row>
    <row r="794" ht="15.75" customHeight="1">
      <c r="J794" s="189"/>
    </row>
    <row r="795" ht="15.75" customHeight="1">
      <c r="J795" s="189"/>
    </row>
    <row r="796" ht="15.75" customHeight="1">
      <c r="J796" s="189"/>
    </row>
    <row r="797" ht="15.75" customHeight="1">
      <c r="J797" s="189"/>
    </row>
    <row r="798" ht="15.75" customHeight="1">
      <c r="J798" s="189"/>
    </row>
    <row r="799" ht="15.75" customHeight="1">
      <c r="J799" s="189"/>
    </row>
    <row r="800" ht="15.75" customHeight="1">
      <c r="J800" s="189"/>
    </row>
    <row r="801" ht="15.75" customHeight="1">
      <c r="J801" s="189"/>
    </row>
    <row r="802" ht="15.75" customHeight="1">
      <c r="J802" s="189"/>
    </row>
    <row r="803" ht="15.75" customHeight="1">
      <c r="J803" s="189"/>
    </row>
    <row r="804" ht="15.75" customHeight="1">
      <c r="J804" s="189"/>
    </row>
    <row r="805" ht="15.75" customHeight="1">
      <c r="J805" s="189"/>
    </row>
    <row r="806" ht="15.75" customHeight="1">
      <c r="J806" s="189"/>
    </row>
    <row r="807" ht="15.75" customHeight="1">
      <c r="J807" s="189"/>
    </row>
    <row r="808" ht="15.75" customHeight="1">
      <c r="J808" s="189"/>
    </row>
    <row r="809" ht="15.75" customHeight="1">
      <c r="J809" s="189"/>
    </row>
    <row r="810" ht="15.75" customHeight="1">
      <c r="J810" s="189"/>
    </row>
    <row r="811" ht="15.75" customHeight="1">
      <c r="J811" s="189"/>
    </row>
    <row r="812" ht="15.75" customHeight="1">
      <c r="J812" s="189"/>
    </row>
    <row r="813" ht="15.75" customHeight="1">
      <c r="J813" s="189"/>
    </row>
    <row r="814" ht="15.75" customHeight="1">
      <c r="J814" s="189"/>
    </row>
    <row r="815" ht="15.75" customHeight="1">
      <c r="J815" s="189"/>
    </row>
    <row r="816" ht="15.75" customHeight="1">
      <c r="J816" s="189"/>
    </row>
    <row r="817" ht="15.75" customHeight="1">
      <c r="J817" s="189"/>
    </row>
    <row r="818" ht="15.75" customHeight="1">
      <c r="J818" s="189"/>
    </row>
    <row r="819" ht="15.75" customHeight="1">
      <c r="J819" s="189"/>
    </row>
    <row r="820" ht="15.75" customHeight="1">
      <c r="J820" s="189"/>
    </row>
    <row r="821" ht="15.75" customHeight="1">
      <c r="J821" s="189"/>
    </row>
    <row r="822" ht="15.75" customHeight="1">
      <c r="J822" s="189"/>
    </row>
    <row r="823" ht="15.75" customHeight="1">
      <c r="J823" s="189"/>
    </row>
    <row r="824" ht="15.75" customHeight="1">
      <c r="J824" s="189"/>
    </row>
    <row r="825" ht="15.75" customHeight="1">
      <c r="J825" s="189"/>
    </row>
    <row r="826" ht="15.75" customHeight="1">
      <c r="J826" s="189"/>
    </row>
    <row r="827" ht="15.75" customHeight="1">
      <c r="J827" s="189"/>
    </row>
    <row r="828" ht="15.75" customHeight="1">
      <c r="J828" s="189"/>
    </row>
    <row r="829" ht="15.75" customHeight="1">
      <c r="J829" s="189"/>
    </row>
    <row r="830" ht="15.75" customHeight="1">
      <c r="J830" s="189"/>
    </row>
    <row r="831" ht="15.75" customHeight="1">
      <c r="J831" s="189"/>
    </row>
    <row r="832" ht="15.75" customHeight="1">
      <c r="J832" s="189"/>
    </row>
    <row r="833" ht="15.75" customHeight="1">
      <c r="J833" s="189"/>
    </row>
    <row r="834" ht="15.75" customHeight="1">
      <c r="J834" s="189"/>
    </row>
    <row r="835" ht="15.75" customHeight="1">
      <c r="J835" s="189"/>
    </row>
    <row r="836" ht="15.75" customHeight="1">
      <c r="J836" s="189"/>
    </row>
    <row r="837" ht="15.75" customHeight="1">
      <c r="J837" s="189"/>
    </row>
    <row r="838" ht="15.75" customHeight="1">
      <c r="J838" s="189"/>
    </row>
    <row r="839" ht="15.75" customHeight="1">
      <c r="J839" s="189"/>
    </row>
    <row r="840" ht="15.75" customHeight="1">
      <c r="J840" s="189"/>
    </row>
    <row r="841" ht="15.75" customHeight="1">
      <c r="J841" s="189"/>
    </row>
    <row r="842" ht="15.75" customHeight="1">
      <c r="J842" s="189"/>
    </row>
    <row r="843" ht="15.75" customHeight="1">
      <c r="J843" s="189"/>
    </row>
    <row r="844" ht="15.75" customHeight="1">
      <c r="J844" s="189"/>
    </row>
    <row r="845" ht="15.75" customHeight="1">
      <c r="J845" s="189"/>
    </row>
    <row r="846" ht="15.75" customHeight="1">
      <c r="J846" s="189"/>
    </row>
    <row r="847" ht="15.75" customHeight="1">
      <c r="J847" s="189"/>
    </row>
    <row r="848" ht="15.75" customHeight="1">
      <c r="J848" s="189"/>
    </row>
    <row r="849" ht="15.75" customHeight="1">
      <c r="J849" s="189"/>
    </row>
    <row r="850" ht="15.75" customHeight="1">
      <c r="J850" s="189"/>
    </row>
    <row r="851" ht="15.75" customHeight="1">
      <c r="J851" s="189"/>
    </row>
    <row r="852" ht="15.75" customHeight="1">
      <c r="J852" s="189"/>
    </row>
    <row r="853" ht="15.75" customHeight="1">
      <c r="J853" s="189"/>
    </row>
    <row r="854" ht="15.75" customHeight="1">
      <c r="J854" s="189"/>
    </row>
    <row r="855" ht="15.75" customHeight="1">
      <c r="J855" s="189"/>
    </row>
    <row r="856" ht="15.75" customHeight="1">
      <c r="J856" s="189"/>
    </row>
    <row r="857" ht="15.75" customHeight="1">
      <c r="J857" s="189"/>
    </row>
    <row r="858" ht="15.75" customHeight="1">
      <c r="J858" s="189"/>
    </row>
    <row r="859" ht="15.75" customHeight="1">
      <c r="J859" s="189"/>
    </row>
    <row r="860" ht="15.75" customHeight="1">
      <c r="J860" s="189"/>
    </row>
    <row r="861" ht="15.75" customHeight="1">
      <c r="J861" s="189"/>
    </row>
    <row r="862" ht="15.75" customHeight="1">
      <c r="J862" s="189"/>
    </row>
    <row r="863" ht="15.75" customHeight="1">
      <c r="J863" s="189"/>
    </row>
    <row r="864" ht="15.75" customHeight="1">
      <c r="J864" s="189"/>
    </row>
    <row r="865" ht="15.75" customHeight="1">
      <c r="J865" s="189"/>
    </row>
    <row r="866" ht="15.75" customHeight="1">
      <c r="J866" s="189"/>
    </row>
    <row r="867" ht="15.75" customHeight="1">
      <c r="J867" s="189"/>
    </row>
    <row r="868" ht="15.75" customHeight="1">
      <c r="J868" s="189"/>
    </row>
    <row r="869" ht="15.75" customHeight="1">
      <c r="J869" s="189"/>
    </row>
    <row r="870" ht="15.75" customHeight="1">
      <c r="J870" s="189"/>
    </row>
    <row r="871" ht="15.75" customHeight="1">
      <c r="J871" s="189"/>
    </row>
    <row r="872" ht="15.75" customHeight="1">
      <c r="J872" s="189"/>
    </row>
    <row r="873" ht="15.75" customHeight="1">
      <c r="J873" s="189"/>
    </row>
    <row r="874" ht="15.75" customHeight="1">
      <c r="J874" s="189"/>
    </row>
    <row r="875" ht="15.75" customHeight="1">
      <c r="J875" s="189"/>
    </row>
    <row r="876" ht="15.75" customHeight="1">
      <c r="J876" s="189"/>
    </row>
    <row r="877" ht="15.75" customHeight="1">
      <c r="J877" s="189"/>
    </row>
    <row r="878" ht="15.75" customHeight="1">
      <c r="J878" s="189"/>
    </row>
    <row r="879" ht="15.75" customHeight="1">
      <c r="J879" s="189"/>
    </row>
    <row r="880" ht="15.75" customHeight="1">
      <c r="J880" s="189"/>
    </row>
    <row r="881" ht="15.75" customHeight="1">
      <c r="J881" s="189"/>
    </row>
    <row r="882" ht="15.75" customHeight="1">
      <c r="J882" s="189"/>
    </row>
    <row r="883" ht="15.75" customHeight="1">
      <c r="J883" s="189"/>
    </row>
    <row r="884" ht="15.75" customHeight="1">
      <c r="J884" s="189"/>
    </row>
    <row r="885" ht="15.75" customHeight="1">
      <c r="J885" s="189"/>
    </row>
    <row r="886" ht="15.75" customHeight="1">
      <c r="J886" s="189"/>
    </row>
    <row r="887" ht="15.75" customHeight="1">
      <c r="J887" s="189"/>
    </row>
    <row r="888" ht="15.75" customHeight="1">
      <c r="J888" s="189"/>
    </row>
    <row r="889" ht="15.75" customHeight="1">
      <c r="J889" s="189"/>
    </row>
    <row r="890" ht="15.75" customHeight="1">
      <c r="J890" s="189"/>
    </row>
    <row r="891" ht="15.75" customHeight="1">
      <c r="J891" s="189"/>
    </row>
    <row r="892" ht="15.75" customHeight="1">
      <c r="J892" s="189"/>
    </row>
    <row r="893" ht="15.75" customHeight="1">
      <c r="J893" s="189"/>
    </row>
    <row r="894" ht="15.75" customHeight="1">
      <c r="J894" s="189"/>
    </row>
    <row r="895" ht="15.75" customHeight="1">
      <c r="J895" s="189"/>
    </row>
    <row r="896" ht="15.75" customHeight="1">
      <c r="J896" s="189"/>
    </row>
    <row r="897" ht="15.75" customHeight="1">
      <c r="J897" s="189"/>
    </row>
    <row r="898" ht="15.75" customHeight="1">
      <c r="J898" s="189"/>
    </row>
    <row r="899" ht="15.75" customHeight="1">
      <c r="J899" s="189"/>
    </row>
    <row r="900" ht="15.75" customHeight="1">
      <c r="J900" s="189"/>
    </row>
    <row r="901" ht="15.75" customHeight="1">
      <c r="J901" s="189"/>
    </row>
    <row r="902" ht="15.75" customHeight="1">
      <c r="J902" s="189"/>
    </row>
    <row r="903" ht="15.75" customHeight="1">
      <c r="J903" s="189"/>
    </row>
    <row r="904" ht="15.75" customHeight="1">
      <c r="J904" s="189"/>
    </row>
    <row r="905" ht="15.75" customHeight="1">
      <c r="J905" s="189"/>
    </row>
    <row r="906" ht="15.75" customHeight="1">
      <c r="J906" s="189"/>
    </row>
    <row r="907" ht="15.75" customHeight="1">
      <c r="J907" s="189"/>
    </row>
    <row r="908" ht="15.75" customHeight="1">
      <c r="J908" s="189"/>
    </row>
    <row r="909" ht="15.75" customHeight="1">
      <c r="J909" s="189"/>
    </row>
    <row r="910" ht="15.75" customHeight="1">
      <c r="J910" s="189"/>
    </row>
    <row r="911" ht="15.75" customHeight="1">
      <c r="J911" s="189"/>
    </row>
    <row r="912" ht="15.75" customHeight="1">
      <c r="J912" s="189"/>
    </row>
    <row r="913" ht="15.75" customHeight="1">
      <c r="J913" s="189"/>
    </row>
    <row r="914" ht="15.75" customHeight="1">
      <c r="J914" s="189"/>
    </row>
    <row r="915" ht="15.75" customHeight="1">
      <c r="J915" s="189"/>
    </row>
    <row r="916" ht="15.75" customHeight="1">
      <c r="J916" s="189"/>
    </row>
    <row r="917" ht="15.75" customHeight="1">
      <c r="J917" s="189"/>
    </row>
    <row r="918" ht="15.75" customHeight="1">
      <c r="J918" s="189"/>
    </row>
    <row r="919" ht="15.75" customHeight="1">
      <c r="J919" s="189"/>
    </row>
    <row r="920" ht="15.75" customHeight="1">
      <c r="J920" s="189"/>
    </row>
    <row r="921" ht="15.75" customHeight="1">
      <c r="J921" s="189"/>
    </row>
    <row r="922" ht="15.75" customHeight="1">
      <c r="J922" s="189"/>
    </row>
    <row r="923" ht="15.75" customHeight="1">
      <c r="J923" s="189"/>
    </row>
    <row r="924" ht="15.75" customHeight="1">
      <c r="J924" s="189"/>
    </row>
    <row r="925" ht="15.75" customHeight="1">
      <c r="J925" s="189"/>
    </row>
    <row r="926" ht="15.75" customHeight="1">
      <c r="J926" s="189"/>
    </row>
    <row r="927" ht="15.75" customHeight="1">
      <c r="J927" s="189"/>
    </row>
    <row r="928" ht="15.75" customHeight="1">
      <c r="J928" s="189"/>
    </row>
    <row r="929" ht="15.75" customHeight="1">
      <c r="J929" s="189"/>
    </row>
    <row r="930" ht="15.75" customHeight="1">
      <c r="J930" s="189"/>
    </row>
    <row r="931" ht="15.75" customHeight="1">
      <c r="J931" s="189"/>
    </row>
    <row r="932" ht="15.75" customHeight="1">
      <c r="J932" s="189"/>
    </row>
    <row r="933" ht="15.75" customHeight="1">
      <c r="J933" s="189"/>
    </row>
    <row r="934" ht="15.75" customHeight="1">
      <c r="J934" s="189"/>
    </row>
    <row r="935" ht="15.75" customHeight="1">
      <c r="J935" s="189"/>
    </row>
    <row r="936" ht="15.75" customHeight="1">
      <c r="J936" s="189"/>
    </row>
    <row r="937" ht="15.75" customHeight="1">
      <c r="J937" s="189"/>
    </row>
    <row r="938" ht="15.75" customHeight="1">
      <c r="J938" s="189"/>
    </row>
    <row r="939" ht="15.75" customHeight="1">
      <c r="J939" s="189"/>
    </row>
    <row r="940" ht="15.75" customHeight="1">
      <c r="J940" s="189"/>
    </row>
    <row r="941" ht="15.75" customHeight="1">
      <c r="J941" s="189"/>
    </row>
    <row r="942" ht="15.75" customHeight="1">
      <c r="J942" s="189"/>
    </row>
    <row r="943" ht="15.75" customHeight="1">
      <c r="J943" s="189"/>
    </row>
    <row r="944" ht="15.75" customHeight="1">
      <c r="J944" s="189"/>
    </row>
    <row r="945" ht="15.75" customHeight="1">
      <c r="J945" s="189"/>
    </row>
    <row r="946" ht="15.75" customHeight="1">
      <c r="J946" s="189"/>
    </row>
    <row r="947" ht="15.75" customHeight="1">
      <c r="J947" s="189"/>
    </row>
    <row r="948" ht="15.75" customHeight="1">
      <c r="J948" s="189"/>
    </row>
    <row r="949" ht="15.75" customHeight="1">
      <c r="J949" s="189"/>
    </row>
    <row r="950" ht="15.75" customHeight="1">
      <c r="J950" s="189"/>
    </row>
    <row r="951" ht="15.75" customHeight="1">
      <c r="J951" s="189"/>
    </row>
    <row r="952" ht="15.75" customHeight="1">
      <c r="J952" s="189"/>
    </row>
    <row r="953" ht="15.75" customHeight="1">
      <c r="J953" s="189"/>
    </row>
    <row r="954" ht="15.75" customHeight="1">
      <c r="J954" s="189"/>
    </row>
    <row r="955" ht="15.75" customHeight="1">
      <c r="J955" s="189"/>
    </row>
    <row r="956" ht="15.75" customHeight="1">
      <c r="J956" s="189"/>
    </row>
    <row r="957" ht="15.75" customHeight="1">
      <c r="J957" s="189"/>
    </row>
    <row r="958" ht="15.75" customHeight="1">
      <c r="J958" s="189"/>
    </row>
    <row r="959" ht="15.75" customHeight="1">
      <c r="J959" s="189"/>
    </row>
    <row r="960" ht="15.75" customHeight="1">
      <c r="J960" s="189"/>
    </row>
    <row r="961" ht="15.75" customHeight="1">
      <c r="J961" s="189"/>
    </row>
    <row r="962" ht="15.75" customHeight="1">
      <c r="J962" s="189"/>
    </row>
    <row r="963" ht="15.75" customHeight="1">
      <c r="J963" s="189"/>
    </row>
    <row r="964" ht="15.75" customHeight="1">
      <c r="J964" s="189"/>
    </row>
    <row r="965" ht="15.75" customHeight="1">
      <c r="J965" s="189"/>
    </row>
    <row r="966" ht="15.75" customHeight="1">
      <c r="J966" s="189"/>
    </row>
    <row r="967" ht="15.75" customHeight="1">
      <c r="J967" s="189"/>
    </row>
    <row r="968" ht="15.75" customHeight="1">
      <c r="J968" s="189"/>
    </row>
    <row r="969" ht="15.75" customHeight="1">
      <c r="J969" s="189"/>
    </row>
    <row r="970" ht="15.75" customHeight="1">
      <c r="J970" s="189"/>
    </row>
    <row r="971" ht="15.75" customHeight="1">
      <c r="J971" s="189"/>
    </row>
    <row r="972" ht="15.75" customHeight="1">
      <c r="J972" s="189"/>
    </row>
    <row r="973" ht="15.75" customHeight="1">
      <c r="J973" s="189"/>
    </row>
    <row r="974" ht="15.75" customHeight="1">
      <c r="J974" s="189"/>
    </row>
    <row r="975" ht="15.75" customHeight="1">
      <c r="J975" s="189"/>
    </row>
    <row r="976" ht="15.75" customHeight="1">
      <c r="J976" s="189"/>
    </row>
    <row r="977" ht="15.75" customHeight="1">
      <c r="J977" s="189"/>
    </row>
    <row r="978" ht="15.75" customHeight="1">
      <c r="J978" s="189"/>
    </row>
    <row r="979" ht="15.75" customHeight="1">
      <c r="J979" s="189"/>
    </row>
    <row r="980" ht="15.75" customHeight="1">
      <c r="J980" s="189"/>
    </row>
    <row r="981" ht="15.75" customHeight="1">
      <c r="J981" s="189"/>
    </row>
    <row r="982" ht="15.75" customHeight="1">
      <c r="J982" s="189"/>
    </row>
    <row r="983" ht="15.75" customHeight="1">
      <c r="J983" s="189"/>
    </row>
    <row r="984" ht="15.75" customHeight="1">
      <c r="J984" s="189"/>
    </row>
    <row r="985" ht="15.75" customHeight="1">
      <c r="J985" s="189"/>
    </row>
    <row r="986" ht="15.75" customHeight="1">
      <c r="J986" s="189"/>
    </row>
    <row r="987" ht="15.75" customHeight="1">
      <c r="J987" s="189"/>
    </row>
    <row r="988" ht="15.75" customHeight="1">
      <c r="J988" s="189"/>
    </row>
    <row r="989" ht="15.75" customHeight="1">
      <c r="J989" s="189"/>
    </row>
    <row r="990" ht="15.75" customHeight="1">
      <c r="J990" s="189"/>
    </row>
    <row r="991" ht="15.75" customHeight="1">
      <c r="J991" s="189"/>
    </row>
    <row r="992" ht="15.75" customHeight="1">
      <c r="J992" s="189"/>
    </row>
    <row r="993" ht="15.75" customHeight="1">
      <c r="J993" s="189"/>
    </row>
    <row r="994" ht="15.75" customHeight="1">
      <c r="J994" s="189"/>
    </row>
    <row r="995" ht="15.75" customHeight="1">
      <c r="J995" s="189"/>
    </row>
    <row r="996" ht="15.75" customHeight="1">
      <c r="J996" s="189"/>
    </row>
    <row r="997" ht="15.75" customHeight="1">
      <c r="J997" s="189"/>
    </row>
    <row r="998" ht="15.75" customHeight="1">
      <c r="J998" s="189"/>
    </row>
    <row r="999" ht="15.75" customHeight="1">
      <c r="J999" s="189"/>
    </row>
    <row r="1000" ht="15.75" customHeight="1">
      <c r="J1000" s="189"/>
    </row>
  </sheetData>
  <hyperlinks>
    <hyperlink display="BMS" location="'BMS CAN msg'!A1" ref="C8"/>
    <hyperlink display="BMS to OBC" location="null!A1" ref="H8"/>
    <hyperlink display="BAMOCAR to Master" location="'BAMO CAN msg'!A1" ref="M8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3.63"/>
    <col customWidth="1" min="18" max="18" width="14.13"/>
    <col customWidth="1" min="19" max="20" width="8.63"/>
    <col customWidth="1" min="21" max="21" width="10.25"/>
    <col customWidth="1" min="22" max="24" width="8.63"/>
    <col customWidth="1" min="25" max="25" width="10.25"/>
    <col customWidth="1" min="26" max="27" width="8.63"/>
  </cols>
  <sheetData>
    <row r="1">
      <c r="A1" s="219" t="s">
        <v>331</v>
      </c>
      <c r="B1" s="220"/>
      <c r="C1" s="219" t="s">
        <v>332</v>
      </c>
    </row>
    <row r="2">
      <c r="A2" s="221" t="s">
        <v>333</v>
      </c>
      <c r="B2" s="182" t="s">
        <v>334</v>
      </c>
      <c r="C2" s="182" t="s">
        <v>335</v>
      </c>
      <c r="D2" s="182" t="s">
        <v>336</v>
      </c>
      <c r="E2" s="182" t="s">
        <v>337</v>
      </c>
      <c r="F2" s="182" t="s">
        <v>338</v>
      </c>
      <c r="G2" s="182" t="s">
        <v>339</v>
      </c>
      <c r="H2" s="182" t="s">
        <v>340</v>
      </c>
      <c r="I2" s="182" t="s">
        <v>341</v>
      </c>
      <c r="J2" s="182" t="s">
        <v>342</v>
      </c>
      <c r="K2" s="182" t="s">
        <v>343</v>
      </c>
      <c r="L2" s="184" t="s">
        <v>344</v>
      </c>
      <c r="U2" s="222"/>
      <c r="V2" s="222"/>
      <c r="W2" s="222"/>
      <c r="Y2" s="222"/>
      <c r="Z2" s="222"/>
      <c r="AA2" s="222"/>
    </row>
    <row r="3">
      <c r="A3" s="194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9"/>
      <c r="U3" s="222"/>
      <c r="V3" s="222"/>
      <c r="W3" s="222"/>
      <c r="Y3" s="222"/>
      <c r="Z3" s="222"/>
      <c r="AA3" s="222"/>
    </row>
    <row r="4">
      <c r="A4" s="219" t="s">
        <v>345</v>
      </c>
      <c r="B4" s="220"/>
      <c r="C4" s="219" t="s">
        <v>346</v>
      </c>
    </row>
    <row r="5">
      <c r="A5" s="201" t="s">
        <v>333</v>
      </c>
      <c r="B5" s="182" t="s">
        <v>347</v>
      </c>
      <c r="C5" s="182" t="s">
        <v>348</v>
      </c>
      <c r="D5" s="182" t="s">
        <v>349</v>
      </c>
      <c r="E5" s="182" t="s">
        <v>350</v>
      </c>
      <c r="F5" s="182" t="s">
        <v>351</v>
      </c>
      <c r="G5" s="182" t="s">
        <v>352</v>
      </c>
      <c r="H5" s="182" t="s">
        <v>353</v>
      </c>
      <c r="I5" s="182" t="s">
        <v>354</v>
      </c>
      <c r="J5" s="182" t="s">
        <v>355</v>
      </c>
      <c r="K5" s="182" t="s">
        <v>356</v>
      </c>
      <c r="L5" s="182" t="s">
        <v>357</v>
      </c>
      <c r="M5" s="182" t="s">
        <v>358</v>
      </c>
      <c r="N5" s="182" t="s">
        <v>359</v>
      </c>
      <c r="O5" s="182" t="s">
        <v>360</v>
      </c>
      <c r="P5" s="182" t="s">
        <v>361</v>
      </c>
      <c r="Q5" s="182" t="s">
        <v>362</v>
      </c>
      <c r="R5" s="223" t="s">
        <v>363</v>
      </c>
      <c r="S5" s="222"/>
      <c r="T5" s="222"/>
      <c r="U5" s="222"/>
      <c r="V5" s="222"/>
      <c r="W5" s="222"/>
      <c r="X5" s="222"/>
      <c r="Y5" s="222"/>
      <c r="Z5" s="222"/>
      <c r="AA5" s="222"/>
    </row>
    <row r="6">
      <c r="A6" s="194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9"/>
      <c r="S6" s="222"/>
      <c r="T6" s="222"/>
      <c r="U6" s="222"/>
      <c r="V6" s="222"/>
      <c r="W6" s="222"/>
      <c r="X6" s="222"/>
      <c r="Y6" s="222"/>
      <c r="Z6" s="222"/>
      <c r="AA6" s="222"/>
    </row>
    <row r="10">
      <c r="A10" s="219" t="s">
        <v>364</v>
      </c>
      <c r="H10" s="219" t="s">
        <v>365</v>
      </c>
    </row>
    <row r="11">
      <c r="A11" s="120" t="s">
        <v>366</v>
      </c>
      <c r="B11" s="120" t="s">
        <v>367</v>
      </c>
      <c r="C11" s="120" t="s">
        <v>368</v>
      </c>
      <c r="H11" s="120" t="s">
        <v>366</v>
      </c>
      <c r="I11" s="120" t="s">
        <v>367</v>
      </c>
      <c r="J11" s="120" t="s">
        <v>368</v>
      </c>
    </row>
    <row r="12">
      <c r="C12" s="120" t="s">
        <v>369</v>
      </c>
      <c r="J12" s="120" t="s">
        <v>369</v>
      </c>
    </row>
    <row r="13">
      <c r="B13" s="120" t="s">
        <v>370</v>
      </c>
      <c r="C13" s="120" t="s">
        <v>371</v>
      </c>
      <c r="I13" s="120" t="s">
        <v>372</v>
      </c>
      <c r="J13" s="120" t="s">
        <v>373</v>
      </c>
    </row>
    <row r="14">
      <c r="B14" s="120" t="s">
        <v>374</v>
      </c>
      <c r="C14" s="120" t="s">
        <v>375</v>
      </c>
      <c r="I14" s="120" t="s">
        <v>376</v>
      </c>
      <c r="J14" s="120" t="s">
        <v>377</v>
      </c>
    </row>
    <row r="15">
      <c r="B15" s="120" t="s">
        <v>378</v>
      </c>
      <c r="C15" s="120" t="s">
        <v>379</v>
      </c>
      <c r="I15" s="120" t="s">
        <v>380</v>
      </c>
      <c r="J15" s="120" t="s">
        <v>381</v>
      </c>
    </row>
    <row r="16">
      <c r="C16" s="120" t="s">
        <v>382</v>
      </c>
      <c r="I16" s="120" t="s">
        <v>378</v>
      </c>
      <c r="J16" s="120" t="s">
        <v>383</v>
      </c>
    </row>
    <row r="17">
      <c r="C17" s="120" t="s">
        <v>384</v>
      </c>
      <c r="I17" s="120" t="s">
        <v>385</v>
      </c>
      <c r="J17" s="120" t="s">
        <v>386</v>
      </c>
    </row>
    <row r="18">
      <c r="B18" s="120" t="s">
        <v>385</v>
      </c>
      <c r="C18" s="120" t="s">
        <v>387</v>
      </c>
      <c r="I18" s="120" t="s">
        <v>388</v>
      </c>
      <c r="J18" s="120" t="s">
        <v>389</v>
      </c>
    </row>
    <row r="19">
      <c r="B19" s="120" t="s">
        <v>388</v>
      </c>
      <c r="C19" s="120" t="s">
        <v>390</v>
      </c>
      <c r="I19" s="120" t="s">
        <v>391</v>
      </c>
      <c r="J19" s="120" t="s">
        <v>392</v>
      </c>
    </row>
    <row r="20">
      <c r="B20" s="120" t="s">
        <v>391</v>
      </c>
      <c r="C20" s="120" t="s">
        <v>393</v>
      </c>
      <c r="I20" s="120" t="s">
        <v>394</v>
      </c>
      <c r="J20" s="120" t="s">
        <v>395</v>
      </c>
    </row>
    <row r="21">
      <c r="B21" s="120" t="s">
        <v>394</v>
      </c>
      <c r="C21" s="120" t="s">
        <v>396</v>
      </c>
      <c r="I21" s="120" t="s">
        <v>397</v>
      </c>
      <c r="J21" s="120" t="s">
        <v>398</v>
      </c>
    </row>
    <row r="22">
      <c r="B22" s="120" t="s">
        <v>399</v>
      </c>
      <c r="C22" s="120" t="s">
        <v>400</v>
      </c>
      <c r="I22" s="120" t="s">
        <v>401</v>
      </c>
      <c r="J22" s="120" t="s">
        <v>402</v>
      </c>
    </row>
    <row r="23" ht="15.75" customHeight="1">
      <c r="B23" s="120" t="s">
        <v>401</v>
      </c>
      <c r="C23" s="120" t="s">
        <v>403</v>
      </c>
      <c r="I23" s="185" t="s">
        <v>404</v>
      </c>
      <c r="J23" s="185" t="s">
        <v>405</v>
      </c>
    </row>
    <row r="24" ht="15.75" customHeight="1">
      <c r="B24" s="120" t="s">
        <v>406</v>
      </c>
      <c r="C24" s="120" t="s">
        <v>407</v>
      </c>
    </row>
    <row r="25" ht="15.75" customHeight="1">
      <c r="B25" s="120" t="s">
        <v>408</v>
      </c>
      <c r="C25" s="120" t="s">
        <v>409</v>
      </c>
    </row>
    <row r="26" ht="15.75" customHeight="1"/>
    <row r="27" ht="15.75" customHeight="1"/>
    <row r="28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3.63"/>
    <col customWidth="1" min="18" max="18" width="14.13"/>
    <col customWidth="1" min="19" max="20" width="8.63"/>
    <col customWidth="1" min="21" max="21" width="10.25"/>
    <col customWidth="1" min="22" max="24" width="8.63"/>
    <col customWidth="1" min="25" max="25" width="10.25"/>
    <col customWidth="1" min="26" max="27" width="8.63"/>
  </cols>
  <sheetData>
    <row r="1">
      <c r="A1" s="219" t="s">
        <v>331</v>
      </c>
      <c r="B1" s="220"/>
      <c r="C1" s="219" t="s">
        <v>332</v>
      </c>
    </row>
    <row r="2">
      <c r="A2" s="221" t="s">
        <v>333</v>
      </c>
      <c r="B2" s="182" t="s">
        <v>334</v>
      </c>
      <c r="C2" s="182" t="s">
        <v>335</v>
      </c>
      <c r="D2" s="182" t="s">
        <v>336</v>
      </c>
      <c r="E2" s="182" t="s">
        <v>337</v>
      </c>
      <c r="F2" s="182" t="s">
        <v>338</v>
      </c>
      <c r="G2" s="182" t="s">
        <v>339</v>
      </c>
      <c r="H2" s="182" t="s">
        <v>340</v>
      </c>
      <c r="I2" s="182" t="s">
        <v>341</v>
      </c>
      <c r="J2" s="182" t="s">
        <v>342</v>
      </c>
      <c r="K2" s="182" t="s">
        <v>343</v>
      </c>
      <c r="L2" s="184" t="s">
        <v>344</v>
      </c>
      <c r="U2" s="222"/>
      <c r="V2" s="222"/>
      <c r="W2" s="222"/>
      <c r="Y2" s="222"/>
      <c r="Z2" s="222"/>
      <c r="AA2" s="222"/>
    </row>
    <row r="3">
      <c r="A3" s="194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9"/>
      <c r="U3" s="222"/>
      <c r="V3" s="222"/>
      <c r="W3" s="222"/>
      <c r="Y3" s="222"/>
      <c r="Z3" s="222"/>
      <c r="AA3" s="222"/>
    </row>
    <row r="4">
      <c r="A4" s="219" t="s">
        <v>345</v>
      </c>
      <c r="B4" s="220"/>
      <c r="C4" s="219" t="s">
        <v>346</v>
      </c>
    </row>
    <row r="5">
      <c r="A5" s="201" t="s">
        <v>333</v>
      </c>
      <c r="B5" s="182" t="s">
        <v>347</v>
      </c>
      <c r="C5" s="182" t="s">
        <v>348</v>
      </c>
      <c r="D5" s="182" t="s">
        <v>349</v>
      </c>
      <c r="E5" s="182" t="s">
        <v>350</v>
      </c>
      <c r="F5" s="182" t="s">
        <v>351</v>
      </c>
      <c r="G5" s="182" t="s">
        <v>352</v>
      </c>
      <c r="H5" s="182" t="s">
        <v>353</v>
      </c>
      <c r="I5" s="182" t="s">
        <v>354</v>
      </c>
      <c r="J5" s="182" t="s">
        <v>355</v>
      </c>
      <c r="K5" s="182" t="s">
        <v>356</v>
      </c>
      <c r="L5" s="182" t="s">
        <v>357</v>
      </c>
      <c r="M5" s="182" t="s">
        <v>358</v>
      </c>
      <c r="N5" s="182" t="s">
        <v>359</v>
      </c>
      <c r="O5" s="182" t="s">
        <v>360</v>
      </c>
      <c r="P5" s="182" t="s">
        <v>361</v>
      </c>
      <c r="Q5" s="182" t="s">
        <v>362</v>
      </c>
      <c r="R5" s="223" t="s">
        <v>363</v>
      </c>
      <c r="S5" s="222"/>
      <c r="T5" s="222"/>
      <c r="U5" s="222"/>
      <c r="V5" s="222"/>
      <c r="W5" s="222"/>
      <c r="X5" s="222"/>
      <c r="Y5" s="222"/>
      <c r="Z5" s="222"/>
      <c r="AA5" s="222"/>
    </row>
    <row r="6">
      <c r="A6" s="194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9"/>
      <c r="S6" s="222"/>
      <c r="T6" s="222"/>
      <c r="U6" s="222"/>
      <c r="V6" s="222"/>
      <c r="W6" s="222"/>
      <c r="X6" s="222"/>
      <c r="Y6" s="222"/>
      <c r="Z6" s="222"/>
      <c r="AA6" s="222"/>
    </row>
    <row r="10">
      <c r="A10" s="219" t="s">
        <v>364</v>
      </c>
      <c r="H10" s="219" t="s">
        <v>365</v>
      </c>
    </row>
    <row r="11">
      <c r="A11" s="120" t="s">
        <v>366</v>
      </c>
      <c r="B11" s="120" t="s">
        <v>367</v>
      </c>
      <c r="C11" s="120" t="s">
        <v>368</v>
      </c>
      <c r="H11" s="120" t="s">
        <v>366</v>
      </c>
      <c r="I11" s="120" t="s">
        <v>367</v>
      </c>
      <c r="J11" s="120" t="s">
        <v>368</v>
      </c>
    </row>
    <row r="12">
      <c r="C12" s="120" t="s">
        <v>369</v>
      </c>
      <c r="J12" s="120" t="s">
        <v>369</v>
      </c>
    </row>
    <row r="13">
      <c r="B13" s="120" t="s">
        <v>370</v>
      </c>
      <c r="C13" s="120" t="s">
        <v>371</v>
      </c>
      <c r="I13" s="120" t="s">
        <v>372</v>
      </c>
      <c r="J13" s="120" t="s">
        <v>373</v>
      </c>
    </row>
    <row r="14">
      <c r="B14" s="120" t="s">
        <v>374</v>
      </c>
      <c r="C14" s="120" t="s">
        <v>375</v>
      </c>
      <c r="I14" s="120" t="s">
        <v>376</v>
      </c>
      <c r="J14" s="120" t="s">
        <v>377</v>
      </c>
    </row>
    <row r="15">
      <c r="B15" s="120" t="s">
        <v>378</v>
      </c>
      <c r="C15" s="120" t="s">
        <v>379</v>
      </c>
      <c r="I15" s="120" t="s">
        <v>380</v>
      </c>
      <c r="J15" s="120" t="s">
        <v>381</v>
      </c>
    </row>
    <row r="16">
      <c r="C16" s="120" t="s">
        <v>382</v>
      </c>
      <c r="I16" s="120" t="s">
        <v>378</v>
      </c>
      <c r="J16" s="120" t="s">
        <v>383</v>
      </c>
    </row>
    <row r="17">
      <c r="C17" s="120" t="s">
        <v>384</v>
      </c>
      <c r="I17" s="120" t="s">
        <v>385</v>
      </c>
      <c r="J17" s="120" t="s">
        <v>386</v>
      </c>
    </row>
    <row r="18">
      <c r="B18" s="120" t="s">
        <v>385</v>
      </c>
      <c r="C18" s="120" t="s">
        <v>387</v>
      </c>
      <c r="I18" s="120" t="s">
        <v>388</v>
      </c>
      <c r="J18" s="120" t="s">
        <v>389</v>
      </c>
    </row>
    <row r="19">
      <c r="B19" s="120" t="s">
        <v>388</v>
      </c>
      <c r="C19" s="120" t="s">
        <v>390</v>
      </c>
      <c r="I19" s="120" t="s">
        <v>391</v>
      </c>
      <c r="J19" s="120" t="s">
        <v>392</v>
      </c>
    </row>
    <row r="20">
      <c r="B20" s="120" t="s">
        <v>391</v>
      </c>
      <c r="C20" s="120" t="s">
        <v>393</v>
      </c>
      <c r="I20" s="120" t="s">
        <v>394</v>
      </c>
      <c r="J20" s="120" t="s">
        <v>395</v>
      </c>
    </row>
    <row r="21">
      <c r="B21" s="120" t="s">
        <v>394</v>
      </c>
      <c r="C21" s="120" t="s">
        <v>396</v>
      </c>
      <c r="I21" s="120" t="s">
        <v>397</v>
      </c>
      <c r="J21" s="120" t="s">
        <v>398</v>
      </c>
    </row>
    <row r="22">
      <c r="B22" s="120" t="s">
        <v>399</v>
      </c>
      <c r="C22" s="120" t="s">
        <v>400</v>
      </c>
      <c r="I22" s="120" t="s">
        <v>401</v>
      </c>
      <c r="J22" s="120" t="s">
        <v>402</v>
      </c>
    </row>
    <row r="23" ht="15.75" customHeight="1">
      <c r="B23" s="120" t="s">
        <v>401</v>
      </c>
      <c r="C23" s="120" t="s">
        <v>403</v>
      </c>
      <c r="I23" s="185" t="s">
        <v>404</v>
      </c>
      <c r="J23" s="185" t="s">
        <v>405</v>
      </c>
    </row>
    <row r="24" ht="15.75" customHeight="1">
      <c r="B24" s="120" t="s">
        <v>406</v>
      </c>
      <c r="C24" s="120" t="s">
        <v>407</v>
      </c>
    </row>
    <row r="25" ht="15.75" customHeight="1">
      <c r="B25" s="120" t="s">
        <v>408</v>
      </c>
      <c r="C25" s="120" t="s">
        <v>409</v>
      </c>
    </row>
    <row r="26" ht="15.75" customHeight="1"/>
    <row r="27" ht="15.75" customHeight="1"/>
    <row r="28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